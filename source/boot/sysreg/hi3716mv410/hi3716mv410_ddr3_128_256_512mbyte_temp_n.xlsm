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 activeTab="9"/>
  </bookViews>
  <sheets>
    <sheet name="history" sheetId="149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41dma_ddrphy" sheetId="147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50" r:id="rId13"/>
    <sheet name="pin_mux_drv_spi" sheetId="137" r:id="rId14"/>
    <sheet name="pin_mux_drv_nand" sheetId="145" r:id="rId15"/>
    <sheet name="fp_pin_mux_drv" sheetId="146" r:id="rId16"/>
    <sheet name="eth_phy_cfg" sheetId="136" r:id="rId17"/>
    <sheet name="others" sheetId="106" r:id="rId18"/>
  </sheets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calcChain.xml><?xml version="1.0" encoding="utf-8"?>
<calcChain xmlns="http://schemas.openxmlformats.org/spreadsheetml/2006/main">
  <c r="M35" i="147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35" i="139"/>
  <c r="H28" i="147"/>
  <c r="H23"/>
  <c r="H22"/>
  <c r="H21"/>
  <c r="H20"/>
  <c r="H19"/>
</calcChain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8" authorId="1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4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5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6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6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6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6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6" author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28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29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0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  <comment ref="B42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</commentList>
</comments>
</file>

<file path=xl/sharedStrings.xml><?xml version="1.0" encoding="utf-8"?>
<sst xmlns="http://schemas.openxmlformats.org/spreadsheetml/2006/main" count="5651" uniqueCount="1368">
  <si>
    <t>Execution Required for Normal Boot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</si>
  <si>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</si>
  <si>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</si>
  <si>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</si>
  <si>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Offset Address</t>
    <phoneticPr fontId="14" type="noConversion"/>
  </si>
  <si>
    <t xml:space="preserve"> Bits to Be Read or Written</t>
    <phoneticPr fontId="14" type="noConversion"/>
  </si>
  <si>
    <t>None</t>
  </si>
  <si>
    <t>write</t>
  </si>
  <si>
    <t>Priority</t>
    <phoneticPr fontId="14" type="noConversion"/>
  </si>
  <si>
    <t>noCA</t>
  </si>
  <si>
    <t>delay</t>
    <phoneticPr fontId="14" type="noConversion"/>
  </si>
  <si>
    <t>Start Bit to Be Read or Written</t>
    <phoneticPr fontId="14" type="noConversion"/>
  </si>
  <si>
    <t>Base Address</t>
    <phoneticPr fontId="14" type="noConversion"/>
  </si>
  <si>
    <t>CA</t>
  </si>
  <si>
    <t>Module Name</t>
    <phoneticPr fontId="14" type="noConversion"/>
  </si>
  <si>
    <t>Y</t>
  </si>
  <si>
    <t>Value Written to or Read from Register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</si>
  <si>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</si>
  <si>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</si>
  <si>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</si>
  <si>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</si>
  <si>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</si>
  <si>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</si>
  <si>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</si>
  <si>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</si>
  <si>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</si>
  <si>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</si>
  <si>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</si>
  <si>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</si>
  <si>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</si>
  <si>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</si>
  <si>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</si>
  <si>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</si>
  <si>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</si>
  <si>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</si>
  <si>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</si>
  <si>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</si>
  <si>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BUS Clock Select PLL</t>
  </si>
  <si>
    <t>DDR_LP</t>
  </si>
  <si>
    <t>0x300</t>
  </si>
  <si>
    <t>DDRC_CFG_AREF</t>
  </si>
  <si>
    <t>DDRC_CFG_WORKMODE</t>
  </si>
  <si>
    <t>DDRC_CFG_DDRMODE</t>
  </si>
  <si>
    <t>DDRC_CFG_EMRS01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</si>
  <si>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</si>
  <si>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</si>
  <si>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</si>
  <si>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</si>
  <si>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</si>
  <si>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</si>
  <si>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</si>
  <si>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DDRC_CFG_DMCLVL</t>
  </si>
  <si>
    <t>DDRC_CFG_DDRPHY</t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</si>
  <si>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</si>
  <si>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</si>
  <si>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</si>
  <si>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</si>
  <si>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</si>
  <si>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</si>
  <si>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</si>
  <si>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</si>
  <si>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</si>
  <si>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DRAMTMR2</t>
  </si>
  <si>
    <t>DRAMTMR3</t>
  </si>
  <si>
    <t>DRAMTMR4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</si>
  <si>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</si>
  <si>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</si>
  <si>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</si>
  <si>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</si>
  <si>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</si>
  <si>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</si>
  <si>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</si>
  <si>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</si>
  <si>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</si>
  <si>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</si>
  <si>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</si>
  <si>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</si>
  <si>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</si>
  <si>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</si>
  <si>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</si>
  <si>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</si>
  <si>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</si>
  <si>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</si>
  <si>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</si>
  <si>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</si>
  <si>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</si>
  <si>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</si>
  <si>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</si>
  <si>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</si>
  <si>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</si>
  <si>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</si>
  <si>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read</t>
  </si>
  <si>
    <t>PHYINITCTRL</t>
  </si>
  <si>
    <t>AXI_CONFIG</t>
  </si>
  <si>
    <t>Qos_Port1</t>
  </si>
  <si>
    <t>Qos_Port2</t>
  </si>
  <si>
    <t>Qos_Port3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</si>
  <si>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</si>
  <si>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</si>
  <si>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</si>
  <si>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</si>
  <si>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</si>
  <si>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</si>
  <si>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</si>
  <si>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</si>
  <si>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</si>
  <si>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</si>
  <si>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</si>
  <si>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</si>
  <si>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</si>
  <si>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</si>
  <si>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</si>
  <si>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</si>
  <si>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</si>
  <si>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</si>
  <si>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</si>
  <si>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I2C</t>
  </si>
  <si>
    <t>I2C Clock Off and reset</t>
  </si>
  <si>
    <t>0x70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</si>
  <si>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</si>
  <si>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</si>
  <si>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</si>
  <si>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</si>
  <si>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</si>
  <si>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</si>
  <si>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</si>
  <si>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</si>
  <si>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</si>
  <si>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</si>
  <si>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</si>
  <si>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</si>
  <si>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</si>
  <si>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</si>
  <si>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</si>
  <si>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</si>
  <si>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</si>
  <si>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</si>
  <si>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</si>
  <si>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</si>
  <si>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</si>
  <si>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</si>
  <si>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</si>
  <si>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</si>
  <si>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</si>
  <si>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</si>
  <si>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</si>
  <si>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</si>
  <si>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</si>
  <si>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</si>
  <si>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</si>
  <si>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</si>
  <si>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0x44</t>
  </si>
  <si>
    <t>eth_phy_cfg</t>
  </si>
  <si>
    <t>NF_REN</t>
  </si>
  <si>
    <t>SPDIF_OUT</t>
  </si>
  <si>
    <t>SHA</t>
  </si>
  <si>
    <t>0x00000000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</si>
  <si>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</si>
  <si>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</si>
  <si>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</si>
  <si>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</si>
  <si>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0x700</t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</si>
  <si>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</si>
  <si>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</si>
  <si>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</si>
  <si>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</si>
  <si>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</si>
  <si>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</si>
  <si>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</si>
  <si>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</si>
  <si>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</si>
  <si>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</si>
  <si>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 pattern</t>
  </si>
  <si>
    <t>DDRC_CFG_INIT</t>
  </si>
  <si>
    <t>0x24</t>
  </si>
  <si>
    <t>0x2c</t>
  </si>
  <si>
    <t>0x40</t>
  </si>
  <si>
    <t>0x50</t>
  </si>
  <si>
    <t>0x60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</si>
  <si>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</si>
  <si>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</si>
  <si>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0x80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</si>
  <si>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</si>
  <si>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</si>
  <si>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</si>
  <si>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</si>
  <si>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</si>
  <si>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</si>
  <si>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</si>
  <si>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</si>
  <si>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</si>
  <si>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</si>
  <si>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</si>
  <si>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</si>
  <si>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</si>
  <si>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</si>
  <si>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</si>
  <si>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</si>
  <si>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</si>
  <si>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</si>
  <si>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</si>
  <si>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</si>
  <si>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</si>
  <si>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</si>
  <si>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</si>
  <si>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</si>
  <si>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</si>
  <si>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</si>
  <si>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</si>
  <si>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</si>
  <si>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</si>
  <si>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</si>
  <si>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</si>
  <si>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</si>
  <si>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</si>
  <si>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r>
      <t>0</t>
    </r>
    <r>
      <rPr>
        <sz val="9"/>
        <rFont val="宋体"/>
        <family val="3"/>
        <charset val="134"/>
      </rPr>
      <t>x34</t>
    </r>
  </si>
  <si>
    <r>
      <t>0</t>
    </r>
    <r>
      <rPr>
        <sz val="9"/>
        <rFont val="宋体"/>
        <family val="3"/>
        <charset val="134"/>
      </rPr>
      <t>x38</t>
    </r>
  </si>
  <si>
    <t>0x3c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</si>
  <si>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</si>
  <si>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</si>
  <si>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</si>
  <si>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</si>
  <si>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</si>
  <si>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</si>
  <si>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</si>
  <si>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</si>
  <si>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</si>
  <si>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</si>
  <si>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</si>
  <si>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</si>
  <si>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</si>
  <si>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</si>
  <si>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</si>
  <si>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</si>
  <si>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</si>
  <si>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</si>
  <si>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</si>
  <si>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</si>
  <si>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</si>
  <si>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</si>
  <si>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</si>
  <si>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</si>
  <si>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</si>
  <si>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</si>
  <si>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</si>
  <si>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</si>
  <si>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</si>
  <si>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</si>
  <si>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</si>
  <si>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</si>
  <si>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</si>
  <si>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</si>
  <si>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</si>
  <si>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</si>
  <si>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</si>
  <si>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</si>
  <si>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</si>
  <si>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</si>
  <si>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</si>
  <si>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</si>
  <si>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</si>
  <si>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</si>
  <si>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</si>
  <si>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</si>
  <si>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</si>
  <si>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</si>
  <si>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</si>
  <si>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</si>
  <si>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</si>
  <si>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</si>
  <si>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</si>
  <si>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</si>
  <si>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</si>
  <si>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</si>
  <si>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</si>
  <si>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</si>
  <si>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</si>
  <si>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</si>
  <si>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</si>
  <si>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</si>
  <si>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</si>
  <si>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</si>
  <si>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</si>
  <si>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</si>
  <si>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</si>
  <si>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</si>
  <si>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</si>
  <si>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</si>
  <si>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</si>
  <si>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</si>
  <si>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</si>
  <si>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</si>
  <si>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</si>
  <si>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</si>
  <si>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</si>
  <si>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</si>
  <si>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</si>
  <si>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</si>
  <si>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</si>
  <si>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</si>
  <si>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</si>
  <si>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</si>
  <si>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</si>
  <si>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</si>
  <si>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</si>
  <si>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</si>
  <si>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</si>
  <si>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</si>
  <si>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</si>
  <si>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</si>
  <si>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</si>
  <si>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</si>
  <si>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</si>
  <si>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</si>
  <si>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</si>
  <si>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</si>
  <si>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</si>
  <si>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</si>
  <si>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</si>
  <si>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</si>
  <si>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</si>
  <si>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</si>
  <si>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</si>
  <si>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</si>
  <si>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</si>
  <si>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</si>
  <si>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</si>
  <si>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</si>
  <si>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</si>
  <si>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</si>
  <si>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</si>
  <si>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</si>
  <si>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</si>
  <si>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</si>
  <si>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clear rx fifo count</t>
  </si>
  <si>
    <t>0x1001</t>
  </si>
  <si>
    <t>DDRPHY Fake Reset Init</t>
  </si>
  <si>
    <t>3</t>
  </si>
  <si>
    <t>Wait Fake Reset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</si>
  <si>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</si>
  <si>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</si>
  <si>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</si>
  <si>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</si>
  <si>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</si>
  <si>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</si>
  <si>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</si>
  <si>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</si>
  <si>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</si>
  <si>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APLL_SSMOD</t>
  </si>
  <si>
    <t>0x12c</t>
  </si>
  <si>
    <t>BPLL_SSMOD</t>
  </si>
  <si>
    <t>VPLL_SSMOD</t>
  </si>
  <si>
    <t>EPLL_SSMOD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</si>
  <si>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</si>
  <si>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</si>
  <si>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</si>
  <si>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</si>
  <si>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</si>
  <si>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</si>
  <si>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</si>
  <si>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</si>
  <si>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0xAC</t>
  </si>
  <si>
    <t>Hisilicon Demo Board IO Default Configuration</t>
  </si>
  <si>
    <t>SOC_BUS</t>
  </si>
  <si>
    <t>0x16</t>
  </si>
  <si>
    <t>sysctrl_CA</t>
  </si>
  <si>
    <t>mddrc</t>
  </si>
  <si>
    <r>
      <t>0x</t>
    </r>
    <r>
      <rPr>
        <sz val="9"/>
        <rFont val="宋体"/>
        <family val="3"/>
        <charset val="134"/>
      </rPr>
      <t>8</t>
    </r>
  </si>
  <si>
    <t>0x142</t>
  </si>
  <si>
    <r>
      <t>0</t>
    </r>
    <r>
      <rPr>
        <sz val="9"/>
        <rFont val="宋体"/>
        <family val="3"/>
        <charset val="134"/>
      </rPr>
      <t>xc</t>
    </r>
  </si>
  <si>
    <t>ddrphy</t>
  </si>
  <si>
    <t>wodt_rank0=1,ODT Enable When Training</t>
  </si>
  <si>
    <t>rdet_ds_en=0,RDE Deskew Disable</t>
  </si>
  <si>
    <t>DDR3, 1T Timing Enable</t>
  </si>
  <si>
    <t>2T cmd Timing disable</t>
  </si>
  <si>
    <t>0xff00ff00</t>
  </si>
  <si>
    <t>ddr_poweron</t>
  </si>
  <si>
    <t>0x1429</t>
  </si>
  <si>
    <t>ddr_wakeup</t>
  </si>
  <si>
    <t>qos_ctrl</t>
  </si>
  <si>
    <t>Qos Mode config</t>
  </si>
  <si>
    <t>write pri. Level remapping</t>
  </si>
  <si>
    <t>read pri. Level remapping</t>
  </si>
  <si>
    <t>timeout value setting</t>
  </si>
  <si>
    <t>peri Qos cfg</t>
  </si>
  <si>
    <t>crg_ctrl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</si>
  <si>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</si>
  <si>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</si>
  <si>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</si>
  <si>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</si>
  <si>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</si>
  <si>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</si>
  <si>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</si>
  <si>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</si>
  <si>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</si>
  <si>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</si>
  <si>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</si>
  <si>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</si>
  <si>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</si>
  <si>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</si>
  <si>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</si>
  <si>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</si>
  <si>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</si>
  <si>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</si>
  <si>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</si>
  <si>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</si>
  <si>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</si>
  <si>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</si>
  <si>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</si>
  <si>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</si>
  <si>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</si>
  <si>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</si>
  <si>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ioshare_reg17</t>
  </si>
  <si>
    <t>ioshare_reg18</t>
  </si>
  <si>
    <t>ioshare_reg19</t>
  </si>
  <si>
    <t>0x4C</t>
  </si>
  <si>
    <t>ioshare_reg20</t>
  </si>
  <si>
    <t>ioshare_reg21</t>
  </si>
  <si>
    <t>ioshare_reg22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</si>
  <si>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</si>
  <si>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</si>
  <si>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</si>
  <si>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</si>
  <si>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</si>
  <si>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</si>
  <si>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</si>
  <si>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QAM_AGC</t>
  </si>
  <si>
    <t>ioshare_reg33</t>
  </si>
  <si>
    <t>ioshare_reg34</t>
  </si>
  <si>
    <t>ioshare_reg35</t>
  </si>
  <si>
    <t>others</t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</si>
  <si>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</si>
  <si>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</si>
  <si>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</si>
  <si>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</si>
  <si>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</si>
  <si>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</si>
  <si>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</si>
  <si>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</si>
  <si>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</si>
  <si>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</si>
  <si>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</si>
  <si>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</si>
  <si>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</si>
  <si>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</si>
  <si>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</si>
  <si>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</si>
  <si>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</si>
  <si>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</si>
  <si>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</si>
  <si>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</si>
  <si>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</si>
  <si>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</si>
  <si>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SFC_CLK</t>
  </si>
  <si>
    <t>SFC_HOLDN_IO3</t>
  </si>
  <si>
    <t>SFC_DIO</t>
  </si>
  <si>
    <t>SIM_RST</t>
  </si>
  <si>
    <t>SIM_DET</t>
  </si>
  <si>
    <t>SIM_DATA</t>
  </si>
  <si>
    <t>SIM_CLK</t>
  </si>
  <si>
    <t>SIM_PWREN</t>
  </si>
  <si>
    <t>TSI1_SYNC</t>
  </si>
  <si>
    <t>TSI1_D0</t>
  </si>
  <si>
    <t>I2C0_SCL</t>
  </si>
  <si>
    <t>I2C0_SDA</t>
  </si>
  <si>
    <t>TSI1_CLK</t>
  </si>
  <si>
    <t>TSI0_CLK</t>
  </si>
  <si>
    <t>TSI0_D1</t>
  </si>
  <si>
    <t>TSI0_D0</t>
  </si>
  <si>
    <t>TSI1_VALID</t>
  </si>
  <si>
    <t>TSI0_VALID</t>
  </si>
  <si>
    <t>LED_KEY0</t>
  </si>
  <si>
    <t>GPIO5_5</t>
  </si>
  <si>
    <t>IR_IN</t>
  </si>
  <si>
    <t>UART_RXD</t>
  </si>
  <si>
    <t>UART_TXD</t>
  </si>
  <si>
    <t>FE</t>
    <phoneticPr fontId="14" type="noConversion"/>
  </si>
  <si>
    <t>MAC1</t>
    <phoneticPr fontId="14" type="noConversion"/>
  </si>
  <si>
    <t>//demo板配置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</si>
  <si>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</si>
  <si>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</si>
  <si>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EPLL Power Up</t>
  </si>
  <si>
    <t>PERI_TIMEOUT_CFG_0</t>
  </si>
  <si>
    <t>0x471</t>
  </si>
  <si>
    <t>0xff</t>
  </si>
  <si>
    <r>
      <t>0</t>
    </r>
    <r>
      <rPr>
        <sz val="9"/>
        <rFont val="宋体"/>
        <family val="3"/>
        <charset val="134"/>
      </rPr>
      <t>x81001000</t>
    </r>
  </si>
  <si>
    <t>MAC0_PHY_ADDR</t>
    <phoneticPr fontId="14" type="noConversion"/>
  </si>
  <si>
    <t>MAC1_PHY_ADDR</t>
    <phoneticPr fontId="14" type="noConversion"/>
  </si>
  <si>
    <t>MAC1_PHY_ADDR = 0x1, HW determine</t>
    <phoneticPr fontId="14" type="noConversion"/>
  </si>
  <si>
    <t>MAC1_PHY_RST_GPIO_BIT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</si>
  <si>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</si>
  <si>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</si>
  <si>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</si>
  <si>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</si>
  <si>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</si>
  <si>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</si>
  <si>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</si>
  <si>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</si>
  <si>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</si>
  <si>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</si>
  <si>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</si>
  <si>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</si>
  <si>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</si>
  <si>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MAC1_PHY_ADDR(eth_phy_cfg)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</si>
  <si>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</si>
  <si>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</si>
  <si>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</si>
  <si>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</si>
  <si>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</si>
  <si>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</si>
  <si>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MAC1_PHY_RST_GPIO_BIT(eth_phy_cfg)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</si>
  <si>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</si>
  <si>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</si>
  <si>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</si>
  <si>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</si>
  <si>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</si>
  <si>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</si>
  <si>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</si>
  <si>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</si>
  <si>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</si>
  <si>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</si>
  <si>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</si>
  <si>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</si>
  <si>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</si>
  <si>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</si>
  <si>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</si>
  <si>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</si>
  <si>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</si>
  <si>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</si>
  <si>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</si>
  <si>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</si>
  <si>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</si>
  <si>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</si>
  <si>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</si>
  <si>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</si>
  <si>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</si>
  <si>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nand</t>
    <phoneticPr fontId="14" type="noConversion"/>
  </si>
  <si>
    <t>Module Name</t>
    <phoneticPr fontId="14" type="noConversion"/>
  </si>
  <si>
    <t>sys_clk</t>
    <phoneticPr fontId="14" type="noConversion"/>
  </si>
  <si>
    <t>Config PLL and Select System Clock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</si>
  <si>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</si>
  <si>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</si>
  <si>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</si>
  <si>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</si>
  <si>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</si>
  <si>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</si>
  <si>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</si>
  <si>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</si>
  <si>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</si>
  <si>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</si>
  <si>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</si>
  <si>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</si>
  <si>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</si>
  <si>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</si>
  <si>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PMC_CTRL</t>
  </si>
  <si>
    <t>0xa220c8</t>
  </si>
  <si>
    <t>0x01</t>
  </si>
  <si>
    <t>PMC De-Reset</t>
  </si>
  <si>
    <t>0xa22048</t>
    <phoneticPr fontId="14" type="noConversion"/>
  </si>
  <si>
    <t>0xa22058</t>
    <phoneticPr fontId="14" type="noConversion"/>
  </si>
  <si>
    <t>0xa22004</t>
    <phoneticPr fontId="14" type="noConversion"/>
  </si>
  <si>
    <t>0x00101051</t>
    <phoneticPr fontId="14" type="noConversion"/>
  </si>
  <si>
    <t>APLL Config 1966.08Mhz FRAC</t>
    <phoneticPr fontId="14" type="noConversion"/>
  </si>
  <si>
    <t>0xa22000</t>
    <phoneticPr fontId="14" type="noConversion"/>
  </si>
  <si>
    <t>0x21EB851F</t>
    <phoneticPr fontId="14" type="noConversion"/>
  </si>
  <si>
    <t>FOUTPST=983.04Mhz</t>
    <phoneticPr fontId="14" type="noConversion"/>
  </si>
  <si>
    <t>0x00001051</t>
    <phoneticPr fontId="14" type="noConversion"/>
  </si>
  <si>
    <t>APLL Power Up</t>
  </si>
  <si>
    <t>BPLL1</t>
    <phoneticPr fontId="14" type="noConversion"/>
  </si>
  <si>
    <t>0xa2200C</t>
    <phoneticPr fontId="14" type="noConversion"/>
  </si>
  <si>
    <t>0x02101064</t>
    <phoneticPr fontId="14" type="noConversion"/>
  </si>
  <si>
    <t>BPLL  VCO Config 2400Mhz</t>
    <phoneticPr fontId="14" type="noConversion"/>
  </si>
  <si>
    <t>BPLL0</t>
    <phoneticPr fontId="14" type="noConversion"/>
  </si>
  <si>
    <t>0xa22008</t>
    <phoneticPr fontId="14" type="noConversion"/>
  </si>
  <si>
    <t>0x21000000</t>
    <phoneticPr fontId="14" type="noConversion"/>
  </si>
  <si>
    <t>FOUTPST=1200Mhz</t>
    <phoneticPr fontId="14" type="noConversion"/>
  </si>
  <si>
    <t>0x02001064</t>
    <phoneticPr fontId="14" type="noConversion"/>
  </si>
  <si>
    <t>BPLL Power Up</t>
    <phoneticPr fontId="14" type="noConversion"/>
  </si>
  <si>
    <t>0xa22014</t>
    <phoneticPr fontId="14" type="noConversion"/>
  </si>
  <si>
    <t>DPLL  VCO Config 1992Mhz</t>
    <phoneticPr fontId="14" type="noConversion"/>
  </si>
  <si>
    <t>0xa22010</t>
    <phoneticPr fontId="14" type="noConversion"/>
  </si>
  <si>
    <t>0xa22014</t>
    <phoneticPr fontId="14" type="noConversion"/>
  </si>
  <si>
    <t>0xa22024</t>
    <phoneticPr fontId="14" type="noConversion"/>
  </si>
  <si>
    <t>0x02101048</t>
    <phoneticPr fontId="14" type="noConversion"/>
  </si>
  <si>
    <t>VPLL VCO Config 1728Mhz</t>
    <phoneticPr fontId="14" type="noConversion"/>
  </si>
  <si>
    <t>0xa22020</t>
    <phoneticPr fontId="14" type="noConversion"/>
  </si>
  <si>
    <t>0x42000000</t>
    <phoneticPr fontId="14" type="noConversion"/>
  </si>
  <si>
    <t>0x02001048</t>
    <phoneticPr fontId="14" type="noConversion"/>
  </si>
  <si>
    <t>0xa22034</t>
    <phoneticPr fontId="14" type="noConversion"/>
  </si>
  <si>
    <t>0x0210207D</t>
    <phoneticPr fontId="14" type="noConversion"/>
  </si>
  <si>
    <t>EPLL VCO Config 1500Mhz</t>
    <phoneticPr fontId="14" type="noConversion"/>
  </si>
  <si>
    <t>0xa22030</t>
    <phoneticPr fontId="14" type="noConversion"/>
  </si>
  <si>
    <t>0x11000000</t>
    <phoneticPr fontId="14" type="noConversion"/>
  </si>
  <si>
    <t>FOUTPST=1500Mhz</t>
    <phoneticPr fontId="14" type="noConversion"/>
  </si>
  <si>
    <t>0x0200207D</t>
    <phoneticPr fontId="14" type="noConversion"/>
  </si>
  <si>
    <t>HPLL1</t>
    <phoneticPr fontId="14" type="noConversion"/>
  </si>
  <si>
    <t>0xa2202C</t>
    <phoneticPr fontId="14" type="noConversion"/>
  </si>
  <si>
    <t>0x02102063</t>
    <phoneticPr fontId="14" type="noConversion"/>
  </si>
  <si>
    <t>HPLL VCO Config 1188Mhz</t>
    <phoneticPr fontId="14" type="noConversion"/>
  </si>
  <si>
    <t>HPLL0</t>
    <phoneticPr fontId="14" type="noConversion"/>
  </si>
  <si>
    <t>0xa22028</t>
    <phoneticPr fontId="14" type="noConversion"/>
  </si>
  <si>
    <t>0x21000000</t>
    <phoneticPr fontId="14" type="noConversion"/>
  </si>
  <si>
    <t>FOUTPST = 594Mhz
FOUT1 = 297M</t>
    <phoneticPr fontId="14" type="noConversion"/>
  </si>
  <si>
    <t>0x02002063</t>
    <phoneticPr fontId="14" type="noConversion"/>
  </si>
  <si>
    <t>HPLL Power Up</t>
    <phoneticPr fontId="14" type="noConversion"/>
  </si>
  <si>
    <t>0xa22058</t>
    <phoneticPr fontId="14" type="noConversion"/>
  </si>
  <si>
    <t>0x505</t>
    <phoneticPr fontId="14" type="noConversion"/>
  </si>
  <si>
    <t>0xa22048</t>
    <phoneticPr fontId="14" type="noConversion"/>
  </si>
  <si>
    <t>from APLL</t>
    <phoneticPr fontId="14" type="noConversion"/>
  </si>
  <si>
    <t>0xa22128</t>
    <phoneticPr fontId="14" type="noConversion"/>
  </si>
  <si>
    <t>0x300</t>
    <phoneticPr fontId="14" type="noConversion"/>
  </si>
  <si>
    <t>Fddr = 332MHz (DPLL)</t>
    <phoneticPr fontId="14" type="noConversion"/>
  </si>
  <si>
    <t>0x700</t>
    <phoneticPr fontId="14" type="noConversion"/>
  </si>
  <si>
    <t>sysctrl_noCA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</si>
  <si>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</si>
  <si>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</si>
  <si>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</si>
  <si>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</si>
  <si>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</si>
  <si>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</si>
  <si>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</si>
  <si>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</si>
  <si>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</si>
  <si>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</si>
  <si>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</si>
  <si>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</si>
  <si>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</si>
  <si>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</si>
  <si>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</si>
  <si>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</si>
  <si>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DDR_TRAINING_CFG</t>
    <phoneticPr fontId="14" type="noConversion"/>
  </si>
  <si>
    <t>0x0</t>
    <phoneticPr fontId="14" type="noConversion"/>
  </si>
  <si>
    <t>SC_GEN20[0]=0:  DDRPHY Software Train Enable
SC_GEN20[4]=0:  Write Leveling Enable
SC_GEN20[8]=0:  SW DQS Gating  Enable
SC_GEN20[16]=0: DDR EYE Train Enable
SC_GEN20[20]=0: HW rd deskew Enable</t>
    <phoneticPr fontId="14" type="noConversion"/>
  </si>
  <si>
    <t>0xa220c4</t>
    <phoneticPr fontId="14" type="noConversion"/>
  </si>
  <si>
    <t>SHA Clock Off and reset(only for NoCA)</t>
    <phoneticPr fontId="14" type="noConversion"/>
  </si>
  <si>
    <t>Config MCU Subsys Clock and DDRPHY Training</t>
    <phoneticPr fontId="14" type="noConversion"/>
  </si>
  <si>
    <t>Execution Required for CA or noCA</t>
    <phoneticPr fontId="14" type="noConversion"/>
  </si>
  <si>
    <t>Read or Write</t>
    <phoneticPr fontId="14" type="noConversion"/>
  </si>
  <si>
    <t>0x0</t>
    <phoneticPr fontId="14" type="noConversion"/>
  </si>
  <si>
    <t>MDDRC Initialize</t>
    <phoneticPr fontId="14" type="noConversion"/>
  </si>
  <si>
    <t>0xf8a31000</t>
    <phoneticPr fontId="14" type="noConversion"/>
  </si>
  <si>
    <t>0x11002001</t>
    <phoneticPr fontId="14" type="noConversion"/>
  </si>
  <si>
    <t>auto precharte disable, HDR Mode,clk ratio=1:2</t>
    <phoneticPr fontId="14" type="noConversion"/>
  </si>
  <si>
    <t>Burst Len = 4@clk1x ;16 Bit DDR;</t>
    <phoneticPr fontId="14" type="noConversion"/>
  </si>
  <si>
    <t>BL=8,CL=10,WR=10,
Rtt=Rzq/4,DIC=RZQ/7</t>
    <phoneticPr fontId="14" type="noConversion"/>
  </si>
  <si>
    <t>0x10</t>
    <phoneticPr fontId="14" type="noConversion"/>
  </si>
  <si>
    <t>0x65090e</t>
    <phoneticPr fontId="14" type="noConversion"/>
  </si>
  <si>
    <t>0x2005</t>
    <phoneticPr fontId="14" type="noConversion"/>
  </si>
  <si>
    <t>CWL=7</t>
    <phoneticPr fontId="14" type="noConversion"/>
  </si>
  <si>
    <t>0x2329510c</t>
    <phoneticPr fontId="14" type="noConversion"/>
  </si>
  <si>
    <t>0x4037a064</t>
    <phoneticPr fontId="14" type="noConversion"/>
  </si>
  <si>
    <t>0x4300f000</t>
    <phoneticPr fontId="14" type="noConversion"/>
  </si>
  <si>
    <t>0xffd00623</t>
    <phoneticPr fontId="14" type="noConversion"/>
  </si>
  <si>
    <t>0x132</t>
    <phoneticPr fontId="14" type="noConversion"/>
  </si>
  <si>
    <t>0x122</t>
    <phoneticPr fontId="14" type="noConversion"/>
  </si>
  <si>
    <t>[6: 4]mem_col =0x4, col=15, 4Gbit
[6: 4]mem_col =0x3, col=14, 2Gbit
[6: 4]mem_col =0x2, col=13, 1Gbit</t>
    <phoneticPr fontId="14" type="noConversion"/>
  </si>
  <si>
    <t>DDRPHY Initialize</t>
    <phoneticPr fontId="14" type="noConversion"/>
  </si>
  <si>
    <t>0xf8a38000</t>
    <phoneticPr fontId="14" type="noConversion"/>
  </si>
  <si>
    <t>AC CK PHASE=6 phase</t>
    <phoneticPr fontId="14" type="noConversion"/>
  </si>
  <si>
    <t>ODT0=0</t>
    <phoneticPr fontId="14" type="noConversion"/>
  </si>
  <si>
    <t>0x2</t>
    <phoneticPr fontId="14" type="noConversion"/>
  </si>
  <si>
    <t>CS0,useless</t>
    <phoneticPr fontId="14" type="noConversion"/>
  </si>
  <si>
    <t>0xf000f</t>
  </si>
  <si>
    <t>CKE0/CKE1 = 23</t>
    <phoneticPr fontId="14" type="noConversion"/>
  </si>
  <si>
    <t>0x10007</t>
  </si>
  <si>
    <t>CAS=1;WE=12</t>
    <phoneticPr fontId="14" type="noConversion"/>
  </si>
  <si>
    <t>0x30007</t>
  </si>
  <si>
    <t>RESET=8;RAS=13</t>
    <phoneticPr fontId="14" type="noConversion"/>
  </si>
  <si>
    <t>0xc0005</t>
  </si>
  <si>
    <t>ADDR1=19;ADDR0=9</t>
    <phoneticPr fontId="14" type="noConversion"/>
  </si>
  <si>
    <t>0x20002</t>
  </si>
  <si>
    <t>ADDR3=5;ADDR2=7</t>
    <phoneticPr fontId="14" type="noConversion"/>
  </si>
  <si>
    <t>0xb</t>
  </si>
  <si>
    <t>ADDR5=4;ADDR4=20</t>
    <phoneticPr fontId="14" type="noConversion"/>
  </si>
  <si>
    <t>ADDR7=5;ADDR6=18</t>
    <phoneticPr fontId="14" type="noConversion"/>
  </si>
  <si>
    <t>0x4000b</t>
  </si>
  <si>
    <t>ADDR9=11;ADDR8=18</t>
    <phoneticPr fontId="14" type="noConversion"/>
  </si>
  <si>
    <t>0x7000e</t>
  </si>
  <si>
    <t>ADDR11=15;ADDR10=22</t>
    <phoneticPr fontId="14" type="noConversion"/>
  </si>
  <si>
    <t>0x4000d</t>
  </si>
  <si>
    <t>ADDR13=11;ADDR12=18</t>
    <phoneticPr fontId="14" type="noConversion"/>
  </si>
  <si>
    <t>0xa</t>
  </si>
  <si>
    <t>ADDR15 useless;ADDR14=15</t>
    <phoneticPr fontId="14" type="noConversion"/>
  </si>
  <si>
    <t>0xe0000</t>
  </si>
  <si>
    <t>BA1=19;BA0=3</t>
    <phoneticPr fontId="14" type="noConversion"/>
  </si>
  <si>
    <t>0x6</t>
  </si>
  <si>
    <t>BA2=11</t>
    <phoneticPr fontId="14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</si>
  <si>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</si>
  <si>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</si>
  <si>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</si>
  <si>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</si>
  <si>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</si>
  <si>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0x0CC83CC0</t>
    <phoneticPr fontId="14" type="noConversion"/>
  </si>
  <si>
    <t>CL=10,WR=10,BL=8,Rtt=Rzq/4</t>
    <phoneticPr fontId="14" type="noConversion"/>
  </si>
  <si>
    <t>CWL=7</t>
    <phoneticPr fontId="14" type="noConversion"/>
  </si>
  <si>
    <t>Write DM1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</si>
  <si>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</si>
  <si>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</si>
  <si>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</si>
  <si>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</si>
  <si>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</si>
  <si>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DXNRDQSDLY0</t>
    <phoneticPr fontId="14" type="noConversion"/>
  </si>
  <si>
    <t>Read DQS0</t>
    <phoneticPr fontId="14" type="noConversion"/>
  </si>
  <si>
    <t>Read DQS1</t>
    <phoneticPr fontId="14" type="noConversion"/>
  </si>
  <si>
    <t>Write DQ0</t>
    <phoneticPr fontId="14" type="noConversion"/>
  </si>
  <si>
    <t>Write DQ1</t>
    <phoneticPr fontId="14" type="noConversion"/>
  </si>
  <si>
    <t>DDR Initial Step when Power On</t>
    <phoneticPr fontId="14" type="noConversion"/>
  </si>
  <si>
    <t>0x58</t>
    <phoneticPr fontId="14" type="noConversion"/>
  </si>
  <si>
    <t>DDRC_CTRL_SREF</t>
    <phoneticPr fontId="14" type="noConversion"/>
  </si>
  <si>
    <t>0xa31000</t>
    <phoneticPr fontId="14" type="noConversion"/>
  </si>
  <si>
    <t>0xa38004</t>
    <phoneticPr fontId="14" type="noConversion"/>
  </si>
  <si>
    <t>0xa38180</t>
    <phoneticPr fontId="14" type="noConversion"/>
  </si>
  <si>
    <t>0xffff0700</t>
    <phoneticPr fontId="14" type="noConversion"/>
  </si>
  <si>
    <t>2T cmd Timing enable</t>
    <phoneticPr fontId="14" type="noConversion"/>
  </si>
  <si>
    <t>0xa31088</t>
    <phoneticPr fontId="14" type="noConversion"/>
  </si>
  <si>
    <t>0x4300f0a0</t>
    <phoneticPr fontId="14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</si>
  <si>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</si>
  <si>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0xa0</t>
    <phoneticPr fontId="14" type="noConversion"/>
  </si>
  <si>
    <t>DDR Initial Step when Wakeup</t>
    <phoneticPr fontId="14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</si>
  <si>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</si>
  <si>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Config Module Qos</t>
    <phoneticPr fontId="14" type="noConversion"/>
  </si>
  <si>
    <t>0xf8a20000</t>
    <phoneticPr fontId="14" type="noConversion"/>
  </si>
  <si>
    <t>0x10000</t>
    <phoneticPr fontId="14" type="noConversion"/>
  </si>
  <si>
    <t>0x10040</t>
    <phoneticPr fontId="14" type="noConversion"/>
  </si>
  <si>
    <t>0x10044</t>
    <phoneticPr fontId="14" type="noConversion"/>
  </si>
  <si>
    <t>0x10048</t>
    <phoneticPr fontId="14" type="noConversion"/>
  </si>
  <si>
    <t>0x1004c</t>
    <phoneticPr fontId="14" type="noConversion"/>
  </si>
  <si>
    <t>Qos_Port4</t>
    <phoneticPr fontId="14" type="noConversion"/>
  </si>
  <si>
    <t>0x10050</t>
    <phoneticPr fontId="14" type="noConversion"/>
  </si>
  <si>
    <t>Qos_Port5</t>
    <phoneticPr fontId="14" type="noConversion"/>
  </si>
  <si>
    <t>0x10054</t>
    <phoneticPr fontId="14" type="noConversion"/>
  </si>
  <si>
    <t>Qos_Port6</t>
    <phoneticPr fontId="14" type="noConversion"/>
  </si>
  <si>
    <t>0x10058</t>
    <phoneticPr fontId="14" type="noConversion"/>
  </si>
  <si>
    <t>0x100c0</t>
    <phoneticPr fontId="14" type="noConversion"/>
  </si>
  <si>
    <t>0x100c4</t>
    <phoneticPr fontId="14" type="noConversion"/>
  </si>
  <si>
    <t>0x100c8</t>
    <phoneticPr fontId="14" type="noConversion"/>
  </si>
  <si>
    <t>0x100cc</t>
    <phoneticPr fontId="14" type="noConversion"/>
  </si>
  <si>
    <t>0x100d0</t>
    <phoneticPr fontId="14" type="noConversion"/>
  </si>
  <si>
    <t>AXI_WPRI_Port5</t>
    <phoneticPr fontId="14" type="noConversion"/>
  </si>
  <si>
    <t>0x100d4</t>
    <phoneticPr fontId="14" type="noConversion"/>
  </si>
  <si>
    <t>AXI_WPRI_Port6</t>
    <phoneticPr fontId="14" type="noConversion"/>
  </si>
  <si>
    <t>0x100d8</t>
    <phoneticPr fontId="14" type="noConversion"/>
  </si>
  <si>
    <t>0x10100</t>
    <phoneticPr fontId="14" type="noConversion"/>
  </si>
  <si>
    <t>0x10104</t>
    <phoneticPr fontId="14" type="noConversion"/>
  </si>
  <si>
    <t>0x10108</t>
    <phoneticPr fontId="14" type="noConversion"/>
  </si>
  <si>
    <t>0x1010c</t>
    <phoneticPr fontId="14" type="noConversion"/>
  </si>
  <si>
    <t>AXI_RPRI_Port4</t>
    <phoneticPr fontId="14" type="noConversion"/>
  </si>
  <si>
    <t>0x10110</t>
    <phoneticPr fontId="14" type="noConversion"/>
  </si>
  <si>
    <t>AXI_RPRI_Port5</t>
    <phoneticPr fontId="14" type="noConversion"/>
  </si>
  <si>
    <t>0x10114</t>
    <phoneticPr fontId="14" type="noConversion"/>
  </si>
  <si>
    <t>AXI_RPRI_Port6</t>
    <phoneticPr fontId="14" type="noConversion"/>
  </si>
  <si>
    <t>0x10118</t>
    <phoneticPr fontId="14" type="noConversion"/>
  </si>
  <si>
    <t>0x10140</t>
    <phoneticPr fontId="14" type="noConversion"/>
  </si>
  <si>
    <t>0x10144</t>
    <phoneticPr fontId="14" type="noConversion"/>
  </si>
  <si>
    <t>0x10148</t>
    <phoneticPr fontId="14" type="noConversion"/>
  </si>
  <si>
    <t>0x00002000</t>
    <phoneticPr fontId="14" type="noConversion"/>
  </si>
  <si>
    <t>timeout value setting,wr_tou1=0x20,128 cycles</t>
    <phoneticPr fontId="14" type="noConversion"/>
  </si>
  <si>
    <t>0x1014c</t>
    <phoneticPr fontId="14" type="noConversion"/>
  </si>
  <si>
    <t>0x10150</t>
    <phoneticPr fontId="14" type="noConversion"/>
  </si>
  <si>
    <t>Write_Timeout_Port5</t>
    <phoneticPr fontId="14" type="noConversion"/>
  </si>
  <si>
    <t>0x10154</t>
    <phoneticPr fontId="14" type="noConversion"/>
  </si>
  <si>
    <t>Write_Timeout_Port6</t>
    <phoneticPr fontId="14" type="noConversion"/>
  </si>
  <si>
    <t>0x10158</t>
    <phoneticPr fontId="14" type="noConversion"/>
  </si>
  <si>
    <t>0x10180</t>
    <phoneticPr fontId="14" type="noConversion"/>
  </si>
  <si>
    <t>0x10184</t>
    <phoneticPr fontId="14" type="noConversion"/>
  </si>
  <si>
    <t>0x10188</t>
    <phoneticPr fontId="14" type="noConversion"/>
  </si>
  <si>
    <t>timeout value setting,rd_tou1=0x20,128 cycles</t>
    <phoneticPr fontId="14" type="noConversion"/>
  </si>
  <si>
    <t>0x1018c</t>
    <phoneticPr fontId="14" type="noConversion"/>
  </si>
  <si>
    <t>0x10190</t>
    <phoneticPr fontId="14" type="noConversion"/>
  </si>
  <si>
    <t>Read_Timeout_Port5</t>
    <phoneticPr fontId="14" type="noConversion"/>
  </si>
  <si>
    <t>0x10194</t>
    <phoneticPr fontId="14" type="noConversion"/>
  </si>
  <si>
    <t>Read_Timeout_Port6</t>
    <phoneticPr fontId="14" type="noConversion"/>
  </si>
  <si>
    <t>0x10198</t>
    <phoneticPr fontId="14" type="noConversion"/>
  </si>
  <si>
    <t>0x0044</t>
    <phoneticPr fontId="14" type="noConversion"/>
  </si>
  <si>
    <t>0x0048</t>
    <phoneticPr fontId="14" type="noConversion"/>
  </si>
  <si>
    <t>0x00330000</t>
    <phoneticPr fontId="14" type="noConversion"/>
  </si>
  <si>
    <t>0x004c</t>
    <phoneticPr fontId="14" type="noConversion"/>
  </si>
  <si>
    <t>0x0050</t>
    <phoneticPr fontId="14" type="noConversion"/>
  </si>
  <si>
    <t>PERI_QOS_CFG4</t>
  </si>
  <si>
    <t>0x0054</t>
    <phoneticPr fontId="14" type="noConversion"/>
  </si>
  <si>
    <t>PERI_QOS_CFG5</t>
  </si>
  <si>
    <t>0x0058</t>
    <phoneticPr fontId="14" type="noConversion"/>
  </si>
  <si>
    <t>PERI_QOS_CFG6</t>
  </si>
  <si>
    <t>0x005c</t>
    <phoneticPr fontId="14" type="noConversion"/>
  </si>
  <si>
    <t>PERI_QOS_CFG7</t>
  </si>
  <si>
    <t>0x0060</t>
    <phoneticPr fontId="14" type="noConversion"/>
  </si>
  <si>
    <t>0x0820</t>
    <phoneticPr fontId="14" type="noConversion"/>
  </si>
  <si>
    <t>aiao timeout</t>
    <phoneticPr fontId="14" type="noConversion"/>
  </si>
  <si>
    <t>PERI_TIMEOUT_CFG_1</t>
    <phoneticPr fontId="14" type="noConversion"/>
  </si>
  <si>
    <t>0x082c</t>
    <phoneticPr fontId="14" type="noConversion"/>
  </si>
  <si>
    <t xml:space="preserve">vdp timeout 1 </t>
    <phoneticPr fontId="14" type="noConversion"/>
  </si>
  <si>
    <t>Close Module Clock and Reset Module</t>
    <phoneticPr fontId="14" type="noConversion"/>
  </si>
  <si>
    <t>0xa2206c</t>
    <phoneticPr fontId="14" type="noConversion"/>
  </si>
  <si>
    <t>0x2222222</t>
    <phoneticPr fontId="14" type="noConversion"/>
  </si>
  <si>
    <t>SSP</t>
    <phoneticPr fontId="14" type="noConversion"/>
  </si>
  <si>
    <t>0xa22070</t>
    <phoneticPr fontId="14" type="noConversion"/>
  </si>
  <si>
    <t>0</t>
    <phoneticPr fontId="14" type="noConversion"/>
  </si>
  <si>
    <t>SSP Clock Off and reset</t>
    <phoneticPr fontId="14" type="noConversion"/>
  </si>
  <si>
    <t>SCI</t>
    <phoneticPr fontId="14" type="noConversion"/>
  </si>
  <si>
    <t>0xa22074</t>
    <phoneticPr fontId="14" type="noConversion"/>
  </si>
  <si>
    <t>0x1</t>
    <phoneticPr fontId="14" type="noConversion"/>
  </si>
  <si>
    <t>write</t>
    <phoneticPr fontId="14" type="noConversion"/>
  </si>
  <si>
    <t>SCI Clock Clock on and reset off</t>
    <phoneticPr fontId="14" type="noConversion"/>
  </si>
  <si>
    <t>SCI_CR0</t>
    <phoneticPr fontId="14" type="noConversion"/>
  </si>
  <si>
    <t>0xb18004</t>
    <phoneticPr fontId="14" type="noConversion"/>
  </si>
  <si>
    <t>0x200</t>
    <phoneticPr fontId="14" type="noConversion"/>
  </si>
  <si>
    <t>SCI VCC En</t>
    <phoneticPr fontId="14" type="noConversion"/>
  </si>
  <si>
    <t>0xa22078</t>
    <phoneticPr fontId="14" type="noConversion"/>
  </si>
  <si>
    <t>0xa2207c</t>
    <phoneticPr fontId="14" type="noConversion"/>
  </si>
  <si>
    <t>0xa22084</t>
    <phoneticPr fontId="14" type="noConversion"/>
  </si>
  <si>
    <t>0xa22088</t>
    <phoneticPr fontId="14" type="noConversion"/>
  </si>
  <si>
    <t>VENC</t>
    <phoneticPr fontId="14" type="noConversion"/>
  </si>
  <si>
    <t>0xa2208c</t>
    <phoneticPr fontId="14" type="noConversion"/>
  </si>
  <si>
    <t>VENC Clock Off and reset</t>
    <phoneticPr fontId="14" type="noConversion"/>
  </si>
  <si>
    <t>JPGE</t>
    <phoneticPr fontId="14" type="noConversion"/>
  </si>
  <si>
    <t>0xa22090</t>
    <phoneticPr fontId="14" type="noConversion"/>
  </si>
  <si>
    <t>JPGE Clock Off and reset</t>
    <phoneticPr fontId="14" type="noConversion"/>
  </si>
  <si>
    <t>0xa22094</t>
    <phoneticPr fontId="14" type="noConversion"/>
  </si>
  <si>
    <t>SDIO</t>
    <phoneticPr fontId="14" type="noConversion"/>
  </si>
  <si>
    <t>0xa2209c</t>
    <phoneticPr fontId="14" type="noConversion"/>
  </si>
  <si>
    <t>0x203</t>
    <phoneticPr fontId="14" type="noConversion"/>
  </si>
  <si>
    <t>SDIO0 Clock select 50MHz</t>
    <phoneticPr fontId="14" type="noConversion"/>
  </si>
  <si>
    <t>EMMC</t>
    <phoneticPr fontId="14" type="noConversion"/>
  </si>
  <si>
    <t>0xa220a0</t>
    <phoneticPr fontId="14" type="noConversion"/>
  </si>
  <si>
    <t>EMMC Clock select 50MHz</t>
    <phoneticPr fontId="14" type="noConversion"/>
  </si>
  <si>
    <t>SATA</t>
    <phoneticPr fontId="14" type="noConversion"/>
  </si>
  <si>
    <t>0xa220a8</t>
    <phoneticPr fontId="14" type="noConversion"/>
  </si>
  <si>
    <t>0xf00</t>
    <phoneticPr fontId="14" type="noConversion"/>
  </si>
  <si>
    <t>SATA Clock Off and reset</t>
    <phoneticPr fontId="14" type="noConversion"/>
  </si>
  <si>
    <t>SF_GMAC</t>
    <phoneticPr fontId="14" type="noConversion"/>
  </si>
  <si>
    <t>0xa220cc</t>
    <phoneticPr fontId="14" type="noConversion"/>
  </si>
  <si>
    <t>0x00c0f003</t>
    <phoneticPr fontId="14" type="noConversion"/>
  </si>
  <si>
    <t>GSF MAC Clock Off and reset</t>
    <phoneticPr fontId="14" type="noConversion"/>
  </si>
  <si>
    <t>GPU</t>
    <phoneticPr fontId="14" type="noConversion"/>
  </si>
  <si>
    <t>GPU Clock Off and reset</t>
    <phoneticPr fontId="14" type="noConversion"/>
  </si>
  <si>
    <t>VDP</t>
    <phoneticPr fontId="14" type="noConversion"/>
  </si>
  <si>
    <t>0xa220d8</t>
    <phoneticPr fontId="14" type="noConversion"/>
  </si>
  <si>
    <t>0x40000000</t>
    <phoneticPr fontId="14" type="noConversion"/>
  </si>
  <si>
    <t>0xa220e0</t>
    <phoneticPr fontId="14" type="noConversion"/>
  </si>
  <si>
    <t>0xa220e4</t>
    <phoneticPr fontId="14" type="noConversion"/>
  </si>
  <si>
    <t>VPSS</t>
    <phoneticPr fontId="14" type="noConversion"/>
  </si>
  <si>
    <t>0xa220f0</t>
    <phoneticPr fontId="14" type="noConversion"/>
  </si>
  <si>
    <t>VPSS Clock Off and reset</t>
    <phoneticPr fontId="14" type="noConversion"/>
  </si>
  <si>
    <t>0xa220fc</t>
    <phoneticPr fontId="14" type="noConversion"/>
  </si>
  <si>
    <t>0x800000</t>
    <phoneticPr fontId="14" type="noConversion"/>
  </si>
  <si>
    <t>0xa2210c</t>
    <phoneticPr fontId="14" type="noConversion"/>
  </si>
  <si>
    <t>0xa22110</t>
    <phoneticPr fontId="14" type="noConversion"/>
  </si>
  <si>
    <t>0xa22114</t>
    <phoneticPr fontId="14" type="noConversion"/>
  </si>
  <si>
    <t>0xa22118</t>
    <phoneticPr fontId="14" type="noConversion"/>
  </si>
  <si>
    <t>0xa2211c</t>
    <phoneticPr fontId="14" type="noConversion"/>
  </si>
  <si>
    <t>PCIE</t>
    <phoneticPr fontId="14" type="noConversion"/>
  </si>
  <si>
    <t>0xa2218C</t>
    <phoneticPr fontId="14" type="noConversion"/>
  </si>
  <si>
    <t>0x30</t>
    <phoneticPr fontId="14" type="noConversion"/>
  </si>
  <si>
    <t>PCIE Clock Off and reset</t>
    <phoneticPr fontId="14" type="noConversion"/>
  </si>
  <si>
    <t>0xa22120</t>
    <phoneticPr fontId="14" type="noConversion"/>
  </si>
  <si>
    <t>1000</t>
    <phoneticPr fontId="14" type="noConversion"/>
  </si>
  <si>
    <t>0x01</t>
    <phoneticPr fontId="14" type="noConversion"/>
  </si>
  <si>
    <t>FEPHY Clock ON</t>
    <phoneticPr fontId="14" type="noConversion"/>
  </si>
  <si>
    <t>0xF8A22000</t>
    <phoneticPr fontId="14" type="noConversion"/>
  </si>
  <si>
    <t>+-0.7%</t>
  </si>
  <si>
    <t>+-0.6%</t>
  </si>
  <si>
    <t>+-0.5%</t>
  </si>
  <si>
    <t>+-0.4%</t>
  </si>
  <si>
    <t>+-0.3%</t>
  </si>
  <si>
    <t>0x461</t>
  </si>
  <si>
    <t>0x451</t>
  </si>
  <si>
    <t>0x431</t>
  </si>
  <si>
    <t>DPLL_SSMOD</t>
    <phoneticPr fontId="14" type="noConversion"/>
  </si>
  <si>
    <t>+-0.2%</t>
    <phoneticPr fontId="14" type="noConversion"/>
  </si>
  <si>
    <t>+-0.1%</t>
    <phoneticPr fontId="14" type="noConversion"/>
  </si>
  <si>
    <t>off</t>
    <phoneticPr fontId="14" type="noConversion"/>
  </si>
  <si>
    <t>0x421</t>
    <phoneticPr fontId="14" type="noConversion"/>
  </si>
  <si>
    <t>0x411</t>
    <phoneticPr fontId="14" type="noConversion"/>
  </si>
  <si>
    <t>0x401</t>
    <phoneticPr fontId="14" type="noConversion"/>
  </si>
  <si>
    <t>7</t>
  </si>
  <si>
    <t>16</t>
  </si>
  <si>
    <t>24</t>
  </si>
  <si>
    <t>Read or Write</t>
    <phoneticPr fontId="14" type="noConversion"/>
  </si>
  <si>
    <t>0x2</t>
    <phoneticPr fontId="14" type="noConversion"/>
  </si>
  <si>
    <t>7</t>
    <phoneticPr fontId="14" type="noConversion"/>
  </si>
  <si>
    <t>FE_PHY_ADDR  = 0x2,  boot use it to config PERI_CTRL and SF reg</t>
    <phoneticPr fontId="14" type="noConversion"/>
  </si>
  <si>
    <t>16</t>
    <phoneticPr fontId="14" type="noConversion"/>
  </si>
  <si>
    <t>MAC1_PHY_RST_GPIO</t>
    <phoneticPr fontId="14" type="noConversion"/>
  </si>
  <si>
    <t>MAC1 PHY RST GPIO Group Num, set 0xff if useless</t>
    <phoneticPr fontId="14" type="noConversion"/>
  </si>
  <si>
    <t>MAC1 PHY RST GPIO Bit Num,set 0xff if useless</t>
    <phoneticPr fontId="14" type="noConversion"/>
  </si>
  <si>
    <t>others for reserved</t>
    <phoneticPr fontId="14" type="noConversion"/>
  </si>
  <si>
    <t>other</t>
    <phoneticPr fontId="14" type="noConversion"/>
  </si>
  <si>
    <t>0x00</t>
    <phoneticPr fontId="14" type="noConversion"/>
  </si>
  <si>
    <t>0</t>
    <phoneticPr fontId="14" type="noConversion"/>
  </si>
  <si>
    <t>pin_mux_drv_spi</t>
    <phoneticPr fontId="14" type="noConversion"/>
  </si>
  <si>
    <t>pin mux &amp; drv config</t>
    <phoneticPr fontId="14" type="noConversion"/>
  </si>
  <si>
    <t>0xf8a21000</t>
    <phoneticPr fontId="14" type="noConversion"/>
  </si>
  <si>
    <t>Execution Required for NAND or SPI</t>
    <phoneticPr fontId="14" type="noConversion"/>
  </si>
  <si>
    <t>SPI</t>
  </si>
  <si>
    <t>Pin Num</t>
    <phoneticPr fontId="26" type="noConversion"/>
  </si>
  <si>
    <t>0xC</t>
    <phoneticPr fontId="14" type="noConversion"/>
  </si>
  <si>
    <t>0x14</t>
    <phoneticPr fontId="14" type="noConversion"/>
  </si>
  <si>
    <t>ioshare_reg12</t>
    <phoneticPr fontId="14" type="noConversion"/>
  </si>
  <si>
    <t>ioshare_reg26</t>
    <phoneticPr fontId="14" type="noConversion"/>
  </si>
  <si>
    <t>0x74</t>
    <phoneticPr fontId="14" type="noConversion"/>
  </si>
  <si>
    <t>0x78</t>
    <phoneticPr fontId="14" type="noConversion"/>
  </si>
  <si>
    <t>0x7C</t>
    <phoneticPr fontId="14" type="noConversion"/>
  </si>
  <si>
    <t>ioshare_reg32</t>
  </si>
  <si>
    <t>0x80</t>
    <phoneticPr fontId="14" type="noConversion"/>
  </si>
  <si>
    <t>0x84</t>
    <phoneticPr fontId="14" type="noConversion"/>
  </si>
  <si>
    <t>0x88</t>
    <phoneticPr fontId="14" type="noConversion"/>
  </si>
  <si>
    <t>0x8C</t>
    <phoneticPr fontId="14" type="noConversion"/>
  </si>
  <si>
    <t>ioshare_reg49</t>
    <phoneticPr fontId="14" type="noConversion"/>
  </si>
  <si>
    <t>0xC4</t>
    <phoneticPr fontId="14" type="noConversion"/>
  </si>
  <si>
    <t>ioshare_reg50</t>
  </si>
  <si>
    <t>0xC8</t>
    <phoneticPr fontId="14" type="noConversion"/>
  </si>
  <si>
    <t>ioshare_reg51</t>
  </si>
  <si>
    <t>0xCC</t>
    <phoneticPr fontId="14" type="noConversion"/>
  </si>
  <si>
    <t>ioshare_reg53</t>
  </si>
  <si>
    <t>0xD4</t>
    <phoneticPr fontId="14" type="noConversion"/>
  </si>
  <si>
    <t>ioshare_reg54</t>
  </si>
  <si>
    <t>0xD8</t>
    <phoneticPr fontId="14" type="noConversion"/>
  </si>
  <si>
    <t>ioshare_reg55</t>
  </si>
  <si>
    <t>0xDC</t>
    <phoneticPr fontId="14" type="noConversion"/>
  </si>
  <si>
    <t>ioshare_reg56</t>
  </si>
  <si>
    <t>0xE0</t>
    <phoneticPr fontId="14" type="noConversion"/>
  </si>
  <si>
    <t>ioshare_reg57</t>
  </si>
  <si>
    <t>0xE4</t>
    <phoneticPr fontId="14" type="noConversion"/>
  </si>
  <si>
    <t>ioshare_reg58</t>
  </si>
  <si>
    <t>0xE8</t>
    <phoneticPr fontId="14" type="noConversion"/>
  </si>
  <si>
    <t>ioshare_reg59</t>
  </si>
  <si>
    <t>0xEC</t>
    <phoneticPr fontId="14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</si>
  <si>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</si>
  <si>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</si>
  <si>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</si>
  <si>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</si>
  <si>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</si>
  <si>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</si>
  <si>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</si>
  <si>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QAM_SCL</t>
  </si>
  <si>
    <t>HDMITX_HOTPLUG</t>
  </si>
  <si>
    <t>GPIO0_0</t>
  </si>
  <si>
    <t>SFC_WPN_IO2</t>
  </si>
  <si>
    <t>SFC_DOI</t>
  </si>
  <si>
    <t>SFC_CSN</t>
  </si>
  <si>
    <t>0x1f0</t>
  </si>
  <si>
    <t>0x1f1</t>
  </si>
  <si>
    <t>0x131</t>
  </si>
  <si>
    <t>0x121</t>
  </si>
  <si>
    <t>0x171</t>
  </si>
  <si>
    <t>0x133</t>
  </si>
  <si>
    <t>8</t>
  </si>
  <si>
    <t>V16</t>
  </si>
  <si>
    <t>U16</t>
  </si>
  <si>
    <t>W17</t>
  </si>
  <si>
    <t>V17</t>
  </si>
  <si>
    <t>W18</t>
  </si>
  <si>
    <t>V18</t>
  </si>
  <si>
    <t>V19</t>
  </si>
  <si>
    <t>U18</t>
  </si>
  <si>
    <t>R18</t>
  </si>
  <si>
    <t>T17</t>
  </si>
  <si>
    <t>T16</t>
  </si>
  <si>
    <t>R17</t>
  </si>
  <si>
    <t>U19</t>
  </si>
  <si>
    <t>R19</t>
  </si>
  <si>
    <t>P18</t>
  </si>
  <si>
    <t>P19</t>
  </si>
  <si>
    <t>N17</t>
  </si>
  <si>
    <t>N16</t>
  </si>
  <si>
    <t>M17</t>
  </si>
  <si>
    <t>M18</t>
  </si>
  <si>
    <t>M19</t>
  </si>
  <si>
    <t>L17</t>
  </si>
  <si>
    <t>L19</t>
  </si>
  <si>
    <t>L18</t>
  </si>
  <si>
    <t>K16</t>
  </si>
  <si>
    <t>K17</t>
  </si>
  <si>
    <t>J17</t>
  </si>
  <si>
    <t>J19</t>
  </si>
  <si>
    <t>H19</t>
  </si>
  <si>
    <t>H18</t>
  </si>
  <si>
    <t>H17</t>
  </si>
  <si>
    <t>G17</t>
  </si>
  <si>
    <t>B14</t>
  </si>
  <si>
    <t>C13</t>
  </si>
  <si>
    <t>B13</t>
  </si>
  <si>
    <t>B12</t>
  </si>
  <si>
    <t>A12</t>
  </si>
  <si>
    <t>C2</t>
  </si>
  <si>
    <t>C1</t>
  </si>
  <si>
    <t>SR</t>
    <phoneticPr fontId="26" type="noConversion"/>
  </si>
  <si>
    <t>4mA</t>
    <phoneticPr fontId="26" type="noConversion"/>
  </si>
  <si>
    <t>NF_DQ7</t>
  </si>
  <si>
    <t>Function</t>
    <phoneticPr fontId="26" type="noConversion"/>
  </si>
  <si>
    <t>6mA</t>
    <phoneticPr fontId="26" type="noConversion"/>
  </si>
  <si>
    <t>0x1e1</t>
    <phoneticPr fontId="26" type="noConversion"/>
  </si>
  <si>
    <t>1mA</t>
    <phoneticPr fontId="26" type="noConversion"/>
  </si>
  <si>
    <t>2mA</t>
    <phoneticPr fontId="26" type="noConversion"/>
  </si>
  <si>
    <t>3mA</t>
    <phoneticPr fontId="26" type="noConversion"/>
  </si>
  <si>
    <t>0x111</t>
    <phoneticPr fontId="26" type="noConversion"/>
  </si>
  <si>
    <t>pin_mux_drv_nand</t>
    <phoneticPr fontId="14" type="noConversion"/>
  </si>
  <si>
    <t>NAND</t>
  </si>
  <si>
    <t>0xC</t>
  </si>
  <si>
    <t>0x1f3</t>
  </si>
  <si>
    <t>0x1e3</t>
  </si>
  <si>
    <t>0x123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</si>
  <si>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</si>
  <si>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</si>
  <si>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</si>
  <si>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</si>
  <si>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</si>
  <si>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</si>
  <si>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</si>
  <si>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</si>
  <si>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</si>
  <si>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</si>
  <si>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fp_pin_mux</t>
  </si>
  <si>
    <t>pwm_gpio_sel</t>
  </si>
  <si>
    <t>LED_DATA</t>
  </si>
  <si>
    <t>LED_CLK</t>
  </si>
  <si>
    <t>GPIO5_3</t>
  </si>
  <si>
    <t>W11</t>
  </si>
  <si>
    <t>V11</t>
  </si>
  <si>
    <t>U12</t>
  </si>
  <si>
    <t>T12</t>
  </si>
  <si>
    <t>V13</t>
  </si>
  <si>
    <t>W13</t>
  </si>
  <si>
    <t>U13</t>
  </si>
  <si>
    <t>T14</t>
  </si>
  <si>
    <t>U14</t>
  </si>
  <si>
    <t>NA</t>
  </si>
  <si>
    <t>GPIO5_0</t>
    <phoneticPr fontId="26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</si>
  <si>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</si>
  <si>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</si>
  <si>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</si>
  <si>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GPIO5_6</t>
    <phoneticPr fontId="26" type="noConversion"/>
  </si>
  <si>
    <t>GPIO5_7</t>
    <phoneticPr fontId="26" type="noConversion"/>
  </si>
  <si>
    <t>1mA</t>
    <phoneticPr fontId="26" type="noConversion"/>
  </si>
  <si>
    <t>2mA</t>
    <phoneticPr fontId="26" type="noConversion"/>
  </si>
  <si>
    <t>GPIO3_5</t>
    <phoneticPr fontId="26" type="noConversion"/>
  </si>
  <si>
    <t>GPIO3_4</t>
    <phoneticPr fontId="26" type="noConversion"/>
  </si>
  <si>
    <t>FOUTPST=332Mhz</t>
    <phoneticPr fontId="14" type="noConversion"/>
  </si>
  <si>
    <t>GPIO1_0</t>
    <phoneticPr fontId="26" type="noConversion"/>
  </si>
  <si>
    <t>JTAG_TRSTN</t>
    <phoneticPr fontId="26" type="noConversion"/>
  </si>
  <si>
    <t>SPI_CSN1</t>
    <phoneticPr fontId="26" type="noConversion"/>
  </si>
  <si>
    <t>JTAG_TDI</t>
    <phoneticPr fontId="26" type="noConversion"/>
  </si>
  <si>
    <t>SPI_SCLK</t>
    <phoneticPr fontId="26" type="noConversion"/>
  </si>
  <si>
    <t>I2C1_SDA</t>
    <phoneticPr fontId="26" type="noConversion"/>
  </si>
  <si>
    <t>GPIO1_1</t>
    <phoneticPr fontId="26" type="noConversion"/>
  </si>
  <si>
    <t>GPIO1_2</t>
    <phoneticPr fontId="26" type="noConversion"/>
  </si>
  <si>
    <t>GPIO1_3</t>
    <phoneticPr fontId="26" type="noConversion"/>
  </si>
  <si>
    <t>GPIO1_4</t>
    <phoneticPr fontId="26" type="noConversion"/>
  </si>
  <si>
    <t>JTAG_TDO</t>
    <phoneticPr fontId="26" type="noConversion"/>
  </si>
  <si>
    <t>JTAG_TCK</t>
    <phoneticPr fontId="26" type="noConversion"/>
  </si>
  <si>
    <t>JTAG_TMS</t>
    <phoneticPr fontId="26" type="noConversion"/>
  </si>
  <si>
    <t>SPI_CSN0</t>
    <phoneticPr fontId="26" type="noConversion"/>
  </si>
  <si>
    <t>SPI_SDI</t>
    <phoneticPr fontId="26" type="noConversion"/>
  </si>
  <si>
    <t>SPI_SDO</t>
    <phoneticPr fontId="26" type="noConversion"/>
  </si>
  <si>
    <t>I2C1_SCL</t>
    <phoneticPr fontId="26" type="noConversion"/>
  </si>
  <si>
    <t>GPIO1_5</t>
    <phoneticPr fontId="26" type="noConversion"/>
  </si>
  <si>
    <t>GPIO1_6</t>
    <phoneticPr fontId="26" type="noConversion"/>
  </si>
  <si>
    <t>GPIO1_7</t>
    <phoneticPr fontId="26" type="noConversion"/>
  </si>
  <si>
    <t>GPIO2_6</t>
    <phoneticPr fontId="26" type="noConversion"/>
  </si>
  <si>
    <t>TSI0_D7</t>
    <phoneticPr fontId="26" type="noConversion"/>
  </si>
  <si>
    <t>TSI0_D6</t>
    <phoneticPr fontId="26" type="noConversion"/>
  </si>
  <si>
    <t>TSI0_D5</t>
    <phoneticPr fontId="26" type="noConversion"/>
  </si>
  <si>
    <t>TSI0_D1</t>
    <phoneticPr fontId="26" type="noConversion"/>
  </si>
  <si>
    <t>TSI0_D0</t>
    <phoneticPr fontId="26" type="noConversion"/>
  </si>
  <si>
    <t>RMII_MDIO</t>
    <phoneticPr fontId="26" type="noConversion"/>
  </si>
  <si>
    <t>RMII_MDCK</t>
    <phoneticPr fontId="26" type="noConversion"/>
  </si>
  <si>
    <t>RMII_RXDV</t>
    <phoneticPr fontId="26" type="noConversion"/>
  </si>
  <si>
    <t>RMII_RST</t>
    <phoneticPr fontId="26" type="noConversion"/>
  </si>
  <si>
    <t>TSO0_SYNC</t>
    <phoneticPr fontId="26" type="noConversion"/>
  </si>
  <si>
    <t>TSO0_VALID</t>
    <phoneticPr fontId="26" type="noConversion"/>
  </si>
  <si>
    <t>TSO0_CLK</t>
    <phoneticPr fontId="26" type="noConversion"/>
  </si>
  <si>
    <t>TSO0_D0</t>
    <phoneticPr fontId="26" type="noConversion"/>
  </si>
  <si>
    <t>TSI2_VALID</t>
    <phoneticPr fontId="26" type="noConversion"/>
  </si>
  <si>
    <t>TSI2_D0</t>
    <phoneticPr fontId="26" type="noConversion"/>
  </si>
  <si>
    <t>TSI2_CLK</t>
    <phoneticPr fontId="26" type="noConversion"/>
  </si>
  <si>
    <t>TSI1_VALID</t>
    <phoneticPr fontId="26" type="noConversion"/>
  </si>
  <si>
    <t>TSI1_D0</t>
    <phoneticPr fontId="26" type="noConversion"/>
  </si>
  <si>
    <t>TSI1_CLK</t>
    <phoneticPr fontId="26" type="noConversion"/>
  </si>
  <si>
    <t>I2C0_SCL</t>
    <phoneticPr fontId="26" type="noConversion"/>
  </si>
  <si>
    <t>TSI3_CLK</t>
    <phoneticPr fontId="26" type="noConversion"/>
  </si>
  <si>
    <t>TSI3_D0</t>
    <phoneticPr fontId="26" type="noConversion"/>
  </si>
  <si>
    <t>I2C0_SCL</t>
    <phoneticPr fontId="26" type="noConversion"/>
  </si>
  <si>
    <t>TSI3_VALID</t>
    <phoneticPr fontId="26" type="noConversion"/>
  </si>
  <si>
    <t>TSI1_D0</t>
    <phoneticPr fontId="26" type="noConversion"/>
  </si>
  <si>
    <t>GPIO3_0</t>
    <phoneticPr fontId="26" type="noConversion"/>
  </si>
  <si>
    <t>GPIO3_1</t>
    <phoneticPr fontId="26" type="noConversion"/>
  </si>
  <si>
    <t>GPIO3_2</t>
    <phoneticPr fontId="26" type="noConversion"/>
  </si>
  <si>
    <t>I2C1_SCL</t>
    <phoneticPr fontId="26" type="noConversion"/>
  </si>
  <si>
    <t>I2C1_SDA</t>
    <phoneticPr fontId="26" type="noConversion"/>
  </si>
  <si>
    <t>TSI0_VALID</t>
    <phoneticPr fontId="26" type="noConversion"/>
  </si>
  <si>
    <t>TSI0_D0</t>
    <phoneticPr fontId="26" type="noConversion"/>
  </si>
  <si>
    <t>GPIO3_3</t>
    <phoneticPr fontId="26" type="noConversion"/>
  </si>
  <si>
    <t>GPIO3_4</t>
    <phoneticPr fontId="26" type="noConversion"/>
  </si>
  <si>
    <t>GPIO3_5</t>
    <phoneticPr fontId="26" type="noConversion"/>
  </si>
  <si>
    <t>GPIO3_6</t>
    <phoneticPr fontId="26" type="noConversion"/>
  </si>
  <si>
    <t>GPIO3_7</t>
    <phoneticPr fontId="26" type="noConversion"/>
  </si>
  <si>
    <t>0x132</t>
  </si>
  <si>
    <t>0x132</t>
    <phoneticPr fontId="26" type="noConversion"/>
  </si>
  <si>
    <t>0x130</t>
    <phoneticPr fontId="26" type="noConversion"/>
  </si>
  <si>
    <t>0x134</t>
    <phoneticPr fontId="26" type="noConversion"/>
  </si>
  <si>
    <t>0x124</t>
    <phoneticPr fontId="26" type="noConversion"/>
  </si>
  <si>
    <t>0x133</t>
    <phoneticPr fontId="26" type="noConversion"/>
  </si>
  <si>
    <t>0x172</t>
    <phoneticPr fontId="26" type="noConversion"/>
  </si>
  <si>
    <t>0x170</t>
    <phoneticPr fontId="26" type="noConversion"/>
  </si>
  <si>
    <t>0x160</t>
    <phoneticPr fontId="26" type="noConversion"/>
  </si>
  <si>
    <t>0x174</t>
    <phoneticPr fontId="26" type="noConversion"/>
  </si>
  <si>
    <t>0x136</t>
    <phoneticPr fontId="26" type="noConversion"/>
  </si>
  <si>
    <t>0x137</t>
  </si>
  <si>
    <t>0x137</t>
    <phoneticPr fontId="26" type="noConversion"/>
  </si>
  <si>
    <t>0x135</t>
    <phoneticPr fontId="26" type="noConversion"/>
  </si>
  <si>
    <t>0x122</t>
    <phoneticPr fontId="26" type="noConversion"/>
  </si>
  <si>
    <t>0x114</t>
    <phoneticPr fontId="26" type="noConversion"/>
  </si>
  <si>
    <t>1mA</t>
    <phoneticPr fontId="26" type="noConversion"/>
  </si>
  <si>
    <t>0x104</t>
    <phoneticPr fontId="26" type="noConversion"/>
  </si>
  <si>
    <t>0x104</t>
    <phoneticPr fontId="26" type="noConversion"/>
  </si>
  <si>
    <t>0x124</t>
    <phoneticPr fontId="26" type="noConversion"/>
  </si>
  <si>
    <t>0x112</t>
    <phoneticPr fontId="26" type="noConversion"/>
  </si>
  <si>
    <t>0x112</t>
    <phoneticPr fontId="26" type="noConversion"/>
  </si>
  <si>
    <t>TSI0_SYNC</t>
    <phoneticPr fontId="26" type="noConversion"/>
  </si>
  <si>
    <t>0x131</t>
    <phoneticPr fontId="26" type="noConversion"/>
  </si>
  <si>
    <t>NF_DQ7</t>
    <phoneticPr fontId="26" type="noConversion"/>
  </si>
  <si>
    <t>SIM_RST</t>
    <phoneticPr fontId="26" type="noConversion"/>
  </si>
  <si>
    <t>GPIO1_0</t>
    <phoneticPr fontId="26" type="noConversion"/>
  </si>
  <si>
    <t>MAC0_PHY_ADDR(eth_phy_cfg)</t>
    <phoneticPr fontId="14" type="noConversion"/>
  </si>
  <si>
    <t>GPIO4</t>
  </si>
  <si>
    <t>GPIO5</t>
  </si>
  <si>
    <t>GPIO6</t>
  </si>
  <si>
    <t>GPIO7</t>
  </si>
  <si>
    <t>GPIO8</t>
  </si>
  <si>
    <t>GPIO9</t>
  </si>
  <si>
    <t>GPIO10</t>
  </si>
  <si>
    <t>0xF8B20000</t>
    <phoneticPr fontId="14" type="noConversion"/>
  </si>
  <si>
    <t>0xF8B21000</t>
    <phoneticPr fontId="14" type="noConversion"/>
  </si>
  <si>
    <t>0xF8B22000</t>
    <phoneticPr fontId="14" type="noConversion"/>
  </si>
  <si>
    <t>0xF8B23000</t>
    <phoneticPr fontId="14" type="noConversion"/>
  </si>
  <si>
    <t>0xF8B24000</t>
    <phoneticPr fontId="14" type="noConversion"/>
  </si>
  <si>
    <t>0xF8004000</t>
    <phoneticPr fontId="14" type="noConversion"/>
  </si>
  <si>
    <t>0xF8B26000</t>
    <phoneticPr fontId="14" type="noConversion"/>
  </si>
  <si>
    <t>0xF8B27000</t>
    <phoneticPr fontId="14" type="noConversion"/>
  </si>
  <si>
    <t>0xF8B28000</t>
    <phoneticPr fontId="14" type="noConversion"/>
  </si>
  <si>
    <t>0xF8B29000</t>
    <phoneticPr fontId="14" type="noConversion"/>
  </si>
  <si>
    <t>0xF8B2A000</t>
    <phoneticPr fontId="14" type="noConversion"/>
  </si>
  <si>
    <t>GPIO0_6</t>
    <phoneticPr fontId="26" type="noConversion"/>
  </si>
  <si>
    <t>DDRC_CFG_RNKVOL</t>
    <phoneticPr fontId="14" type="noConversion"/>
  </si>
  <si>
    <t>0xf8000000</t>
    <phoneticPr fontId="14" type="noConversion"/>
  </si>
  <si>
    <t>workbook</t>
    <phoneticPr fontId="14" type="noConversion"/>
  </si>
  <si>
    <t>eth_phy_cfg</t>
    <phoneticPr fontId="14" type="noConversion"/>
  </si>
  <si>
    <t>DDRT_PATTERN</t>
    <phoneticPr fontId="14" type="noConversion"/>
  </si>
  <si>
    <t>0xF8000000</t>
    <phoneticPr fontId="14" type="noConversion"/>
  </si>
  <si>
    <t>0x1</t>
    <phoneticPr fontId="14" type="noConversion"/>
  </si>
  <si>
    <t>0xa220d4</t>
    <phoneticPr fontId="14" type="noConversion"/>
  </si>
  <si>
    <t>fp_pin_mux_drv</t>
    <phoneticPr fontId="14" type="noConversion"/>
  </si>
  <si>
    <t>spi</t>
    <phoneticPr fontId="14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</si>
  <si>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</si>
  <si>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</si>
  <si>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</si>
  <si>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</si>
  <si>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</si>
  <si>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2015.6.24</t>
    <phoneticPr fontId="14" type="noConversion"/>
  </si>
  <si>
    <t>w00272551</t>
    <phoneticPr fontId="14" type="noConversion"/>
  </si>
  <si>
    <t>all</t>
    <phoneticPr fontId="14" type="noConversion"/>
  </si>
  <si>
    <t>1st release version</t>
    <phoneticPr fontId="14" type="noConversion"/>
  </si>
  <si>
    <t>0x2b160</t>
    <phoneticPr fontId="14" type="noConversion"/>
  </si>
  <si>
    <t>0x8998A566</t>
    <phoneticPr fontId="14" type="noConversion"/>
  </si>
  <si>
    <t>0x20021000</t>
    <phoneticPr fontId="14" type="noConversion"/>
  </si>
  <si>
    <t>0xa7000100</t>
    <phoneticPr fontId="14" type="noConversion"/>
  </si>
  <si>
    <t>0x551c</t>
    <phoneticPr fontId="14" type="noConversion"/>
  </si>
  <si>
    <t>0x2b160</t>
    <phoneticPr fontId="14" type="noConversion"/>
  </si>
  <si>
    <t>0x10</t>
    <phoneticPr fontId="14" type="noConversion"/>
  </si>
  <si>
    <t>0x3cdf841</t>
    <phoneticPr fontId="14" type="noConversion"/>
  </si>
  <si>
    <t>0x406</t>
    <phoneticPr fontId="14" type="noConversion"/>
  </si>
  <si>
    <t>0x0000fc0</t>
    <phoneticPr fontId="14" type="noConversion"/>
  </si>
  <si>
    <t>0x0</t>
    <phoneticPr fontId="14" type="noConversion"/>
  </si>
  <si>
    <t>0x2</t>
    <phoneticPr fontId="14" type="noConversion"/>
  </si>
  <si>
    <t>0x0f</t>
    <phoneticPr fontId="14" type="noConversion"/>
  </si>
  <si>
    <t>0x500</t>
    <phoneticPr fontId="14" type="noConversion"/>
  </si>
  <si>
    <t>0x0</t>
    <phoneticPr fontId="14" type="noConversion"/>
  </si>
  <si>
    <t>0x20</t>
    <phoneticPr fontId="14" type="noConversion"/>
  </si>
  <si>
    <t>0xd00</t>
    <phoneticPr fontId="14" type="noConversion"/>
  </si>
  <si>
    <t>0x3959</t>
    <phoneticPr fontId="14" type="noConversion"/>
  </si>
  <si>
    <t>TSI2_CLK</t>
    <phoneticPr fontId="26" type="noConversion"/>
  </si>
  <si>
    <t>TSI2_D0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</si>
  <si>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</si>
  <si>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</si>
  <si>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</si>
  <si>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</si>
  <si>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TSO0_D0</t>
    <phoneticPr fontId="26" type="noConversion"/>
  </si>
  <si>
    <t>TSI2_CLK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</si>
  <si>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</si>
  <si>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</si>
  <si>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</si>
  <si>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</si>
  <si>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TSI1_D0</t>
    <phoneticPr fontId="26" type="noConversion"/>
  </si>
  <si>
    <t>TSI2_D0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</si>
  <si>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</si>
  <si>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</si>
  <si>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</si>
  <si>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TSI1_CLK</t>
    <phoneticPr fontId="26" type="noConversion"/>
  </si>
  <si>
    <t>TSI0_CLK</t>
    <phoneticPr fontId="26" type="noConversion"/>
  </si>
  <si>
    <t>TSI0_D1</t>
    <phoneticPr fontId="26" type="noConversion"/>
  </si>
  <si>
    <t>GPIO2_3</t>
    <phoneticPr fontId="26" type="noConversion"/>
  </si>
  <si>
    <t>RMII_TXD0</t>
    <phoneticPr fontId="26" type="noConversion"/>
  </si>
  <si>
    <t>TSI0_SYNC</t>
    <phoneticPr fontId="26" type="noConversion"/>
  </si>
  <si>
    <t>TSI0_VALID</t>
    <phoneticPr fontId="26" type="noConversion"/>
  </si>
  <si>
    <t>TSI0_D0</t>
    <phoneticPr fontId="26" type="noConversion"/>
  </si>
  <si>
    <t>I2C1_SDA</t>
    <phoneticPr fontId="26" type="noConversion"/>
  </si>
  <si>
    <t>GPIO2_4</t>
    <phoneticPr fontId="26" type="noConversion"/>
  </si>
  <si>
    <t>RMII_TXD1</t>
    <phoneticPr fontId="26" type="noConversion"/>
  </si>
  <si>
    <t>I2C1_SCL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</si>
  <si>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</si>
  <si>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</si>
  <si>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</si>
  <si>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TSI1_VALID</t>
    <phoneticPr fontId="26" type="noConversion"/>
  </si>
  <si>
    <t>GPIO2_6</t>
    <phoneticPr fontId="26" type="noConversion"/>
  </si>
  <si>
    <t>RMII_RST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</si>
  <si>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</si>
  <si>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</si>
  <si>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</si>
  <si>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</si>
  <si>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</si>
  <si>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</si>
  <si>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</si>
  <si>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</si>
  <si>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</si>
  <si>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</si>
  <si>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</si>
  <si>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TSI0_CLK</t>
    <phoneticPr fontId="26" type="noConversion"/>
  </si>
  <si>
    <t>GPIO2_3</t>
    <phoneticPr fontId="26" type="noConversion"/>
  </si>
  <si>
    <t>RMII_TXD0</t>
    <phoneticPr fontId="26" type="noConversion"/>
  </si>
  <si>
    <t>TSI0_D0</t>
    <phoneticPr fontId="26" type="noConversion"/>
  </si>
  <si>
    <t>GPIO2_4</t>
    <phoneticPr fontId="26" type="noConversion"/>
  </si>
  <si>
    <t>RMII_TXD1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</si>
  <si>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</si>
  <si>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</si>
  <si>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</si>
  <si>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0xf98</t>
    <phoneticPr fontId="14" type="noConversion"/>
  </si>
  <si>
    <t>0x5</t>
    <phoneticPr fontId="14" type="noConversion"/>
  </si>
  <si>
    <t>DDRC_CA_EN</t>
    <phoneticPr fontId="14" type="noConversion"/>
  </si>
  <si>
    <t>CWL</t>
    <phoneticPr fontId="14" type="noConversion"/>
  </si>
  <si>
    <t xml:space="preserve">   7  tCK</t>
    <phoneticPr fontId="14" type="noConversion"/>
  </si>
  <si>
    <t>CL</t>
    <phoneticPr fontId="14" type="noConversion"/>
  </si>
  <si>
    <t xml:space="preserve">  10 tCK</t>
    <phoneticPr fontId="14" type="noConversion"/>
  </si>
  <si>
    <t>a</t>
    <phoneticPr fontId="14" type="noConversion"/>
  </si>
  <si>
    <t>taond</t>
    <phoneticPr fontId="14" type="noConversion"/>
  </si>
  <si>
    <t>tRCD</t>
    <phoneticPr fontId="14" type="noConversion"/>
  </si>
  <si>
    <t xml:space="preserve">    5 tclk1x =  10 tCK(requirment:&gt;=15ns)</t>
    <phoneticPr fontId="14" type="noConversion"/>
  </si>
  <si>
    <t>tRP</t>
    <phoneticPr fontId="14" type="noConversion"/>
  </si>
  <si>
    <t xml:space="preserve">    5 tclk1x =  10 tCK(&gt;=15ns)</t>
    <phoneticPr fontId="14" type="noConversion"/>
  </si>
  <si>
    <t>tRC</t>
    <phoneticPr fontId="14" type="noConversion"/>
  </si>
  <si>
    <t xml:space="preserve">  17 tclk1x =  34 tCK(&gt;=51ns)</t>
    <phoneticPr fontId="14" type="noConversion"/>
  </si>
  <si>
    <t>tRRD</t>
    <phoneticPr fontId="14" type="noConversion"/>
  </si>
  <si>
    <t xml:space="preserve">    3 tclk1x =    6 tCK(&gt;=max(4nCK,7.5ns))</t>
    <phoneticPr fontId="14" type="noConversion"/>
  </si>
  <si>
    <t>tRAS</t>
    <phoneticPr fontId="14" type="noConversion"/>
  </si>
  <si>
    <t xml:space="preserve">  12 tclk1x =  24 tCK(&gt;=36ns)</t>
    <phoneticPr fontId="14" type="noConversion"/>
  </si>
  <si>
    <t>c</t>
    <phoneticPr fontId="14" type="noConversion"/>
  </si>
  <si>
    <t>tWR</t>
    <phoneticPr fontId="14" type="noConversion"/>
  </si>
  <si>
    <t>tRFC</t>
    <phoneticPr fontId="14" type="noConversion"/>
  </si>
  <si>
    <t>100 tclk1x =200 tCK(&gt;=300ns)</t>
    <phoneticPr fontId="14" type="noConversion"/>
  </si>
  <si>
    <t>tWTR</t>
    <phoneticPr fontId="14" type="noConversion"/>
  </si>
  <si>
    <t>tRTP</t>
    <phoneticPr fontId="14" type="noConversion"/>
  </si>
  <si>
    <t>tMRD</t>
    <phoneticPr fontId="14" type="noConversion"/>
  </si>
  <si>
    <t xml:space="preserve">    2 tclk1x =    4 tCK</t>
    <phoneticPr fontId="14" type="noConversion"/>
  </si>
  <si>
    <t>tMOD</t>
    <phoneticPr fontId="14" type="noConversion"/>
  </si>
  <si>
    <t xml:space="preserve">    6 tclk1x =  12 tCK(&gt;=max(12nCK,15ns))</t>
    <phoneticPr fontId="14" type="noConversion"/>
  </si>
  <si>
    <t>tFAW</t>
    <phoneticPr fontId="14" type="noConversion"/>
  </si>
  <si>
    <t xml:space="preserve">  15 tclk1x =  30 tCK(&gt;=45ns)</t>
    <phoneticPr fontId="14" type="noConversion"/>
  </si>
  <si>
    <t>f</t>
    <phoneticPr fontId="14" type="noConversion"/>
  </si>
  <si>
    <t>tWLMRD</t>
    <phoneticPr fontId="14" type="noConversion"/>
  </si>
  <si>
    <t xml:space="preserve">  14 tclk1x =  28 tCK(&gt;=40ns)</t>
    <phoneticPr fontId="14" type="noConversion"/>
  </si>
  <si>
    <t>e</t>
    <phoneticPr fontId="14" type="noConversion"/>
  </si>
  <si>
    <t>tWLDQSEN</t>
    <phoneticPr fontId="14" type="noConversion"/>
  </si>
  <si>
    <t xml:space="preserve">    9 tclk1x =  18 tCK(&gt;=25ns)</t>
    <phoneticPr fontId="14" type="noConversion"/>
  </si>
  <si>
    <t>tXP</t>
    <phoneticPr fontId="14" type="noConversion"/>
  </si>
  <si>
    <t xml:space="preserve">    2 tclk1x =    4 tCK(&gt;=max(3nCK, 6ns))</t>
    <phoneticPr fontId="14" type="noConversion"/>
  </si>
  <si>
    <t>tCKE</t>
    <phoneticPr fontId="14" type="noConversion"/>
  </si>
  <si>
    <t xml:space="preserve">    2 tclk1x =    4 tCK(&gt;=max(3nCK, 5.625ns))</t>
    <phoneticPr fontId="14" type="noConversion"/>
  </si>
  <si>
    <t xml:space="preserve">tZQinit </t>
    <phoneticPr fontId="14" type="noConversion"/>
  </si>
  <si>
    <t xml:space="preserve"> 256 tclk1x=512 tCK(&gt;=max(512nCK, 640ns))</t>
    <phoneticPr fontId="14" type="noConversion"/>
  </si>
  <si>
    <t>tDLLK/tXSDLL</t>
    <phoneticPr fontId="14" type="noConversion"/>
  </si>
  <si>
    <t>64*4tclk1x=512 tCK</t>
    <phoneticPr fontId="14" type="noConversion"/>
  </si>
  <si>
    <t>tZQCS</t>
    <phoneticPr fontId="14" type="noConversion"/>
  </si>
  <si>
    <t xml:space="preserve">  32 tclk1x =  64 tCK(&gt;=max(64nCK, 80ns))</t>
    <phoneticPr fontId="14" type="noConversion"/>
  </si>
  <si>
    <t xml:space="preserve">tCKSRE/tCKSRX </t>
    <phoneticPr fontId="14" type="noConversion"/>
  </si>
  <si>
    <t xml:space="preserve">    4 tclk1x =   8 tCK(&gt;=max(5nCK, 10ns))</t>
    <phoneticPr fontId="14" type="noConversion"/>
  </si>
  <si>
    <t xml:space="preserve">tCKESR  </t>
    <phoneticPr fontId="14" type="noConversion"/>
  </si>
  <si>
    <t xml:space="preserve">    2 tclk1x =   4 tCK</t>
    <phoneticPr fontId="14" type="noConversion"/>
  </si>
  <si>
    <t>trtw</t>
    <phoneticPr fontId="14" type="noConversion"/>
  </si>
  <si>
    <t xml:space="preserve">    3 tclk1x =   6 tCK</t>
    <phoneticPr fontId="14" type="noConversion"/>
  </si>
  <si>
    <t>taref(trefi)</t>
    <phoneticPr fontId="14" type="noConversion"/>
  </si>
  <si>
    <t>160 *16tclk1x(&lt;=7800ns)</t>
    <phoneticPr fontId="14" type="noConversion"/>
  </si>
  <si>
    <t>twlo</t>
    <phoneticPr fontId="14" type="noConversion"/>
  </si>
  <si>
    <t xml:space="preserve">    5 tclk1x =   10 tCK(&gt;=9ns)</t>
    <phoneticPr fontId="14" type="noConversion"/>
  </si>
  <si>
    <t>Timing0=0x2329510C</t>
  </si>
  <si>
    <t>Timing1=0x4037A064</t>
  </si>
  <si>
    <t>Timing2=0x4300F0A0</t>
  </si>
  <si>
    <t>Timing3=0xFFD00623</t>
  </si>
  <si>
    <t>Timing4=0x0065090E</t>
  </si>
  <si>
    <t>Timing5=0x00002005</t>
  </si>
  <si>
    <t>Timing Parameter</t>
    <phoneticPr fontId="14" type="noConversion"/>
  </si>
  <si>
    <t>Spec.</t>
    <phoneticPr fontId="14" type="noConversion"/>
  </si>
  <si>
    <t xml:space="preserve">   6tCK</t>
    <phoneticPr fontId="14" type="noConversion"/>
  </si>
  <si>
    <t>40(Unit:4tclk1x)</t>
    <phoneticPr fontId="14" type="noConversion"/>
  </si>
  <si>
    <t>0xa0(Unit:16tclk1x)</t>
    <phoneticPr fontId="14" type="noConversion"/>
  </si>
  <si>
    <t>Value，Dec（Unit：tCK）</t>
    <phoneticPr fontId="14" type="noConversion"/>
  </si>
  <si>
    <t>Value，Dec（Unit：tclk1x）</t>
    <phoneticPr fontId="14" type="noConversion"/>
  </si>
  <si>
    <t>Hex（Unit：tCK）</t>
    <phoneticPr fontId="14" type="noConversion"/>
  </si>
  <si>
    <t>Hex（Unit：tclk1x）</t>
    <phoneticPr fontId="14" type="noConversion"/>
  </si>
  <si>
    <t>100 tclk1x = 200 tCK(&gt;=300ns)</t>
    <phoneticPr fontId="14" type="noConversion"/>
  </si>
  <si>
    <t>256 tclk1x = 512 tCK(&gt;=max(512nCK, 640ns))</t>
    <phoneticPr fontId="14" type="noConversion"/>
  </si>
  <si>
    <t>64*4tclk1x = 512 tCK</t>
    <phoneticPr fontId="14" type="noConversion"/>
  </si>
  <si>
    <t xml:space="preserve">  32 tclk1x =   64 tCK(&gt;=max(64nCK, 80ns))</t>
    <phoneticPr fontId="14" type="noConversion"/>
  </si>
  <si>
    <t xml:space="preserve">    4 tclk1x =    8 tCK(&gt;=max(5nCK, 10ns))</t>
    <phoneticPr fontId="14" type="noConversion"/>
  </si>
  <si>
    <t xml:space="preserve">    3 tclk1x =    6 tCK</t>
    <phoneticPr fontId="14" type="noConversion"/>
  </si>
  <si>
    <t xml:space="preserve">tZQoper  </t>
  </si>
  <si>
    <t>128 tclk1x = 256 tCK(&gt;=max(256tCK,320ns)</t>
    <phoneticPr fontId="14" type="noConversion"/>
  </si>
  <si>
    <t>hi3716m41dma</t>
    <phoneticPr fontId="14" type="noConversion"/>
  </si>
  <si>
    <t>sys_clk,sysctrl_noCA,sysctrl_CA,mddrc,hi3716m41dma_ddrphy,ddr_poweron,ddr_wakeup,qos_ctrl,crg_ctrl,clk_ssmod,peri_cfg,pin_mux_drv_spi,pin_mux_drv_nand,fp_pin_mux_drv,eth_phy_cfg,others</t>
    <phoneticPr fontId="14" type="noConversion"/>
  </si>
  <si>
    <t>hi3716m41dma</t>
    <phoneticPr fontId="26" type="noConversion"/>
  </si>
  <si>
    <t>hi3716m41dma</t>
    <phoneticPr fontId="26" type="noConversion"/>
  </si>
  <si>
    <t>256mbyte</t>
    <phoneticPr fontId="14" type="noConversion"/>
  </si>
  <si>
    <t>128mbyte</t>
    <phoneticPr fontId="14" type="noConversion"/>
  </si>
  <si>
    <t>512mbyte</t>
    <phoneticPr fontId="14" type="noConversion"/>
  </si>
  <si>
    <t>512mbyte</t>
    <phoneticPr fontId="14" type="noConversion"/>
  </si>
  <si>
    <t>0x00101053</t>
    <phoneticPr fontId="14" type="noConversion"/>
  </si>
  <si>
    <t>0x61000000</t>
    <phoneticPr fontId="14" type="noConversion"/>
  </si>
  <si>
    <t>0x00001053</t>
    <phoneticPr fontId="14" type="noConversion"/>
  </si>
  <si>
    <t>peri_cfg</t>
  </si>
  <si>
    <t>peri_cfg</t>
    <phoneticPr fontId="14" type="noConversion"/>
  </si>
  <si>
    <t>0xf8a20000</t>
    <phoneticPr fontId="14" type="noConversion"/>
  </si>
  <si>
    <t>ITEM1/2</t>
    <phoneticPr fontId="14" type="noConversion"/>
  </si>
  <si>
    <t>Execution Required for Normal Boot</t>
    <phoneticPr fontId="14" type="noConversion"/>
  </si>
  <si>
    <t>Offset Address</t>
    <phoneticPr fontId="14" type="noConversion"/>
  </si>
  <si>
    <t>Read or Write</t>
    <phoneticPr fontId="14" type="noConversion"/>
  </si>
  <si>
    <t>0x6000b</t>
    <phoneticPr fontId="14" type="noConversion"/>
  </si>
  <si>
    <t>V1.4.0</t>
    <phoneticPr fontId="14" type="noConversion"/>
  </si>
  <si>
    <t>V1.4.1</t>
    <phoneticPr fontId="14" type="noConversion"/>
  </si>
  <si>
    <t xml:space="preserve">DDRC_CA_EN 0x0-&gt;0x5 </t>
    <phoneticPr fontId="14" type="noConversion"/>
  </si>
  <si>
    <t>sysctrl_noCA</t>
    <phoneticPr fontId="14" type="noConversion"/>
  </si>
  <si>
    <t>W00272551</t>
    <phoneticPr fontId="14" type="noConversion"/>
  </si>
  <si>
    <t>2015.8.26</t>
    <phoneticPr fontId="14" type="noConversion"/>
  </si>
  <si>
    <t>DDRC CA disable</t>
    <phoneticPr fontId="14" type="noConversion"/>
  </si>
  <si>
    <t>DDRC  CA disable</t>
    <phoneticPr fontId="14" type="noConversion"/>
  </si>
  <si>
    <t>0x0000ff00</t>
    <phoneticPr fontId="14" type="noConversion"/>
  </si>
  <si>
    <t>V1.4.2</t>
  </si>
  <si>
    <t>CPU time out设定修改</t>
  </si>
  <si>
    <t>W00272551</t>
  </si>
  <si>
    <t>2015.9.18</t>
  </si>
  <si>
    <t>Function</t>
  </si>
  <si>
    <t>Register Attribute</t>
    <phoneticPr fontId="14" type="noConversion"/>
  </si>
  <si>
    <t>when 800Mbps.set
0x4300f060</t>
    <phoneticPr fontId="14" type="noConversion"/>
  </si>
  <si>
    <t>V1.4.3</t>
    <phoneticPr fontId="14" type="noConversion"/>
  </si>
  <si>
    <t>DDR WAKEUP 修改</t>
    <phoneticPr fontId="14" type="noConversion"/>
  </si>
  <si>
    <t>ddr_wakeup</t>
    <phoneticPr fontId="14" type="noConversion"/>
  </si>
  <si>
    <t>y00283401</t>
    <phoneticPr fontId="14" type="noConversion"/>
  </si>
  <si>
    <t>2018.7.18</t>
    <phoneticPr fontId="14" type="noConversion"/>
  </si>
  <si>
    <t>V1.4.4</t>
    <phoneticPr fontId="14" type="noConversion"/>
  </si>
  <si>
    <t>QOS_CTRL中断优先级修改</t>
    <phoneticPr fontId="14" type="noConversion"/>
  </si>
  <si>
    <t>2018.10.24</t>
    <phoneticPr fontId="14" type="noConversion"/>
  </si>
  <si>
    <t>v1.4.4</t>
    <phoneticPr fontId="14" type="noConversion"/>
  </si>
  <si>
    <t>0x00664477</t>
    <phoneticPr fontId="14" type="noConversion"/>
  </si>
  <si>
    <t xml:space="preserve"> 0x44440044</t>
    <phoneticPr fontId="14" type="noConversion"/>
  </si>
  <si>
    <t>0x50033447</t>
    <phoneticPr fontId="14" type="noConversion"/>
  </si>
  <si>
    <t>0x55044775</t>
    <phoneticPr fontId="14" type="noConversion"/>
  </si>
  <si>
    <t>0x60000600</t>
    <phoneticPr fontId="14" type="noConversion"/>
  </si>
  <si>
    <t>0x66006460</t>
    <phoneticPr fontId="14" type="noConversion"/>
  </si>
  <si>
    <t>0x06404406</t>
    <phoneticPr fontId="14" type="noConversion"/>
  </si>
  <si>
    <t>0x00110011</t>
    <phoneticPr fontId="14" type="noConversion"/>
  </si>
  <si>
    <t>0x00011000</t>
    <phoneticPr fontId="14" type="noConversion"/>
  </si>
</sst>
</file>

<file path=xl/styles.xml><?xml version="1.0" encoding="utf-8"?>
<styleSheet xmlns="http://schemas.openxmlformats.org/spreadsheetml/2006/main">
  <fonts count="3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theme="1"/>
      <name val="FrutigerNext LT Regular"/>
      <family val="2"/>
    </font>
  </fonts>
  <fills count="1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127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8" fillId="10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3" borderId="2" xfId="0" applyFont="1" applyFill="1" applyBorder="1">
      <alignment vertical="center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16" fillId="7" borderId="1" xfId="8" applyFont="1" applyFill="1" applyBorder="1" applyAlignment="1">
      <alignment horizontal="center" vertical="center" wrapText="1"/>
    </xf>
    <xf numFmtId="49" fontId="14" fillId="3" borderId="13" xfId="0" applyNumberFormat="1" applyFont="1" applyFill="1" applyBorder="1" applyAlignment="1">
      <alignment horizontal="center" vertical="center" wrapText="1"/>
    </xf>
    <xf numFmtId="49" fontId="18" fillId="3" borderId="13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1" fillId="11" borderId="0" xfId="3" applyFont="1" applyFill="1" applyAlignment="1">
      <alignment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49" fontId="14" fillId="12" borderId="1" xfId="0" applyNumberFormat="1" applyFont="1" applyFill="1" applyBorder="1" applyAlignment="1">
      <alignment horizontal="center" vertical="center" wrapText="1"/>
    </xf>
    <xf numFmtId="49" fontId="18" fillId="12" borderId="1" xfId="0" applyNumberFormat="1" applyFont="1" applyFill="1" applyBorder="1" applyAlignment="1">
      <alignment horizontal="center" vertical="center" wrapText="1"/>
    </xf>
    <xf numFmtId="0" fontId="16" fillId="12" borderId="0" xfId="0" applyFont="1" applyFill="1">
      <alignment vertical="center"/>
    </xf>
    <xf numFmtId="0" fontId="14" fillId="13" borderId="1" xfId="0" applyFont="1" applyFill="1" applyBorder="1" applyAlignment="1">
      <alignment horizontal="center" vertical="center" wrapText="1"/>
    </xf>
    <xf numFmtId="49" fontId="14" fillId="13" borderId="1" xfId="0" applyNumberFormat="1" applyFont="1" applyFill="1" applyBorder="1" applyAlignment="1">
      <alignment horizontal="center" vertical="center" wrapText="1"/>
    </xf>
    <xf numFmtId="49" fontId="18" fillId="13" borderId="1" xfId="0" applyNumberFormat="1" applyFont="1" applyFill="1" applyBorder="1" applyAlignment="1">
      <alignment horizontal="center" vertical="center" wrapText="1"/>
    </xf>
    <xf numFmtId="0" fontId="16" fillId="13" borderId="0" xfId="0" applyFont="1" applyFill="1">
      <alignment vertical="center"/>
    </xf>
    <xf numFmtId="0" fontId="14" fillId="14" borderId="1" xfId="0" applyFont="1" applyFill="1" applyBorder="1" applyAlignment="1">
      <alignment horizontal="center" vertical="center" wrapText="1"/>
    </xf>
    <xf numFmtId="49" fontId="14" fillId="14" borderId="1" xfId="0" applyNumberFormat="1" applyFont="1" applyFill="1" applyBorder="1" applyAlignment="1">
      <alignment horizontal="center" vertical="center" wrapTex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vertical="center" wrapText="1"/>
    </xf>
    <xf numFmtId="0" fontId="16" fillId="15" borderId="0" xfId="0" applyFont="1" applyFill="1">
      <alignment vertical="center"/>
    </xf>
    <xf numFmtId="0" fontId="16" fillId="3" borderId="0" xfId="0" applyFont="1" applyFill="1" applyBorder="1">
      <alignment vertical="center"/>
    </xf>
    <xf numFmtId="49" fontId="18" fillId="3" borderId="2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/>
    </xf>
    <xf numFmtId="0" fontId="16" fillId="0" borderId="0" xfId="0" applyFont="1" applyBorder="1" applyAlignment="1">
      <alignment horizontal="left" vertical="center"/>
    </xf>
    <xf numFmtId="0" fontId="16" fillId="5" borderId="0" xfId="0" applyFont="1" applyFill="1">
      <alignment vertical="center"/>
    </xf>
    <xf numFmtId="0" fontId="16" fillId="16" borderId="0" xfId="0" applyFont="1" applyFill="1">
      <alignment vertical="center"/>
    </xf>
    <xf numFmtId="49" fontId="23" fillId="5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vertical="center" wrapText="1"/>
    </xf>
    <xf numFmtId="0" fontId="14" fillId="4" borderId="2" xfId="0" applyFont="1" applyFill="1" applyBorder="1">
      <alignment vertical="center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14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left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left" vertical="center"/>
    </xf>
    <xf numFmtId="0" fontId="32" fillId="16" borderId="0" xfId="0" applyFont="1" applyFill="1" applyAlignment="1">
      <alignment vertical="center" wrapText="1"/>
    </xf>
    <xf numFmtId="0" fontId="20" fillId="0" borderId="5" xfId="0" applyFont="1" applyBorder="1" applyAlignment="1">
      <alignment horizontal="left" vertical="center"/>
    </xf>
    <xf numFmtId="0" fontId="16" fillId="5" borderId="5" xfId="0" applyFont="1" applyFill="1" applyBorder="1" applyAlignment="1">
      <alignment horizontal="left" vertical="center" wrapText="1"/>
    </xf>
    <xf numFmtId="0" fontId="16" fillId="5" borderId="5" xfId="0" applyFont="1" applyFill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  <xf numFmtId="49" fontId="27" fillId="6" borderId="1" xfId="0" applyNumberFormat="1" applyFont="1" applyFill="1" applyBorder="1" applyAlignment="1">
      <alignment horizontal="center" vertical="center" wrapText="1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1"/>
  <sheetViews>
    <sheetView workbookViewId="0">
      <selection activeCell="D23" sqref="C23:D23"/>
    </sheetView>
  </sheetViews>
  <sheetFormatPr defaultRowHeight="15.75"/>
  <cols>
    <col min="1" max="1" width="6" bestFit="1" customWidth="1"/>
    <col min="2" max="2" width="35.88671875" customWidth="1"/>
    <col min="3" max="3" width="10.44140625" customWidth="1"/>
    <col min="4" max="5" width="7.33203125" bestFit="1" customWidth="1"/>
  </cols>
  <sheetData>
    <row r="1" spans="1:5">
      <c r="A1" s="109" t="s">
        <v>1153</v>
      </c>
      <c r="B1" s="109" t="s">
        <v>1154</v>
      </c>
      <c r="C1" s="109" t="s">
        <v>1155</v>
      </c>
      <c r="D1" s="110" t="s">
        <v>1156</v>
      </c>
      <c r="E1" s="110" t="s">
        <v>1157</v>
      </c>
    </row>
    <row r="2" spans="1:5">
      <c r="A2" s="111" t="s">
        <v>1334</v>
      </c>
      <c r="B2" s="111" t="s">
        <v>1161</v>
      </c>
      <c r="C2" s="111" t="s">
        <v>1160</v>
      </c>
      <c r="D2" s="111" t="s">
        <v>1159</v>
      </c>
      <c r="E2" s="110" t="s">
        <v>1158</v>
      </c>
    </row>
    <row r="3" spans="1:5">
      <c r="A3" s="109" t="s">
        <v>1335</v>
      </c>
      <c r="B3" s="112" t="s">
        <v>1336</v>
      </c>
      <c r="C3" s="112" t="s">
        <v>1337</v>
      </c>
      <c r="D3" s="111" t="s">
        <v>1338</v>
      </c>
      <c r="E3" s="111" t="s">
        <v>1339</v>
      </c>
    </row>
    <row r="4" spans="1:5">
      <c r="A4" s="111" t="s">
        <v>1343</v>
      </c>
      <c r="B4" s="112" t="s">
        <v>1344</v>
      </c>
      <c r="C4" s="111" t="s">
        <v>379</v>
      </c>
      <c r="D4" s="111" t="s">
        <v>1345</v>
      </c>
      <c r="E4" s="110" t="s">
        <v>1346</v>
      </c>
    </row>
    <row r="5" spans="1:5">
      <c r="A5" s="111" t="s">
        <v>1350</v>
      </c>
      <c r="B5" s="112" t="s">
        <v>1351</v>
      </c>
      <c r="C5" s="111" t="s">
        <v>1352</v>
      </c>
      <c r="D5" s="111" t="s">
        <v>1353</v>
      </c>
      <c r="E5" s="110" t="s">
        <v>1354</v>
      </c>
    </row>
    <row r="6" spans="1:5">
      <c r="A6" s="111" t="s">
        <v>1355</v>
      </c>
      <c r="B6" s="112" t="s">
        <v>1356</v>
      </c>
      <c r="C6" s="111" t="s">
        <v>379</v>
      </c>
      <c r="D6" s="111" t="s">
        <v>1353</v>
      </c>
      <c r="E6" s="111" t="s">
        <v>1357</v>
      </c>
    </row>
    <row r="7" spans="1:5">
      <c r="A7" s="111"/>
      <c r="B7" s="112"/>
      <c r="C7" s="111"/>
      <c r="D7" s="111"/>
      <c r="E7" s="111"/>
    </row>
    <row r="8" spans="1:5">
      <c r="A8" s="109"/>
      <c r="B8" s="111"/>
      <c r="C8" s="111"/>
      <c r="D8" s="111"/>
      <c r="E8" s="109"/>
    </row>
    <row r="9" spans="1:5">
      <c r="A9" s="109"/>
      <c r="B9" s="111"/>
      <c r="C9" s="111"/>
      <c r="D9" s="111"/>
      <c r="E9" s="109"/>
    </row>
    <row r="10" spans="1:5">
      <c r="A10" s="109"/>
      <c r="B10" s="111"/>
      <c r="C10" s="111"/>
      <c r="D10" s="111"/>
      <c r="E10" s="109"/>
    </row>
    <row r="11" spans="1:5">
      <c r="A11" s="109"/>
      <c r="B11" s="111"/>
      <c r="C11" s="111"/>
      <c r="D11" s="111"/>
      <c r="E11" s="109"/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2"/>
  <sheetViews>
    <sheetView zoomScaleNormal="100" workbookViewId="0">
      <selection activeCell="J33" sqref="J33"/>
    </sheetView>
  </sheetViews>
  <sheetFormatPr defaultColWidth="8.77734375" defaultRowHeight="14.25"/>
  <cols>
    <col min="1" max="1" width="15.44140625" style="37" customWidth="1"/>
    <col min="2" max="2" width="8.21875" style="37" customWidth="1"/>
    <col min="3" max="3" width="18.6640625" style="37" customWidth="1"/>
    <col min="4" max="4" width="15" style="37" customWidth="1"/>
    <col min="5" max="5" width="9.5546875" style="37" customWidth="1"/>
    <col min="6" max="6" width="12.109375" style="37" customWidth="1"/>
    <col min="7" max="7" width="7.77734375" style="37" customWidth="1"/>
    <col min="8" max="8" width="7.33203125" style="37" customWidth="1"/>
    <col min="9" max="9" width="7" style="37" customWidth="1"/>
    <col min="10" max="10" width="7.44140625" style="37" customWidth="1"/>
    <col min="11" max="16384" width="8.77734375" style="37"/>
  </cols>
  <sheetData>
    <row r="1" spans="1:12">
      <c r="A1" s="74" t="s">
        <v>516</v>
      </c>
      <c r="B1" s="39">
        <v>1</v>
      </c>
      <c r="C1" s="39" t="s">
        <v>1358</v>
      </c>
    </row>
    <row r="2" spans="1:12" ht="78.75">
      <c r="A2" s="74" t="s">
        <v>1145</v>
      </c>
      <c r="B2" s="39">
        <v>1</v>
      </c>
      <c r="C2" s="39" t="s">
        <v>1316</v>
      </c>
    </row>
    <row r="3" spans="1:12">
      <c r="A3" s="73" t="s">
        <v>506</v>
      </c>
      <c r="B3" s="39"/>
      <c r="C3" s="62"/>
      <c r="D3" s="39"/>
      <c r="E3" s="39"/>
      <c r="F3" s="39"/>
      <c r="G3" s="39"/>
      <c r="H3" s="39"/>
      <c r="I3" s="39"/>
      <c r="J3" s="39"/>
      <c r="K3" s="39"/>
      <c r="L3" s="39"/>
    </row>
    <row r="4" spans="1:12">
      <c r="A4" s="74" t="s">
        <v>523</v>
      </c>
      <c r="B4" s="39">
        <v>2</v>
      </c>
      <c r="C4" s="62"/>
    </row>
    <row r="5" spans="1:12">
      <c r="A5" s="74" t="s">
        <v>501</v>
      </c>
      <c r="B5" s="74" t="s">
        <v>504</v>
      </c>
      <c r="C5" s="74" t="s">
        <v>491</v>
      </c>
      <c r="D5" s="39"/>
      <c r="E5" s="39"/>
      <c r="F5" s="39"/>
      <c r="G5" s="39"/>
      <c r="H5" s="39"/>
      <c r="I5" s="39"/>
      <c r="J5" s="39"/>
      <c r="L5" s="39"/>
    </row>
    <row r="6" spans="1:12">
      <c r="A6" s="74" t="s">
        <v>494</v>
      </c>
      <c r="B6" s="39">
        <v>1</v>
      </c>
      <c r="C6" s="62" t="s">
        <v>533</v>
      </c>
      <c r="D6" s="39"/>
      <c r="E6" s="39"/>
      <c r="F6" s="39"/>
      <c r="G6" s="39"/>
      <c r="H6" s="39"/>
      <c r="I6" s="39"/>
      <c r="J6" s="39"/>
      <c r="K6" s="39"/>
      <c r="L6" s="39"/>
    </row>
    <row r="7" spans="1:12">
      <c r="A7" s="39" t="s">
        <v>499</v>
      </c>
      <c r="B7" s="39">
        <v>1</v>
      </c>
      <c r="C7" s="62" t="s">
        <v>531</v>
      </c>
      <c r="D7" s="39"/>
      <c r="E7" s="39"/>
      <c r="F7" s="39"/>
      <c r="G7" s="39"/>
      <c r="H7" s="39"/>
      <c r="I7" s="39"/>
      <c r="J7" s="39"/>
      <c r="K7" s="39"/>
      <c r="L7" s="39"/>
    </row>
    <row r="8" spans="1:12">
      <c r="A8" s="73" t="s">
        <v>505</v>
      </c>
      <c r="B8" s="39"/>
      <c r="C8" s="62"/>
      <c r="D8" s="39"/>
      <c r="E8" s="39"/>
      <c r="F8" s="39"/>
      <c r="G8" s="39"/>
      <c r="H8" s="39"/>
      <c r="I8" s="39"/>
      <c r="J8" s="39"/>
      <c r="K8" s="39"/>
      <c r="L8" s="39"/>
    </row>
    <row r="9" spans="1:12">
      <c r="A9" s="74" t="s">
        <v>500</v>
      </c>
      <c r="B9" s="39">
        <v>2</v>
      </c>
      <c r="C9" s="62"/>
      <c r="D9" s="39"/>
      <c r="E9" s="39"/>
      <c r="F9" s="39"/>
      <c r="G9" s="39"/>
      <c r="H9" s="39"/>
      <c r="I9" s="39"/>
      <c r="J9" s="39"/>
      <c r="K9" s="39"/>
      <c r="L9" s="39"/>
    </row>
    <row r="10" spans="1:12">
      <c r="A10" s="74" t="s">
        <v>490</v>
      </c>
      <c r="B10" s="74" t="s">
        <v>504</v>
      </c>
      <c r="C10" s="82" t="s">
        <v>524</v>
      </c>
      <c r="D10" s="39"/>
      <c r="E10" s="39"/>
      <c r="F10" s="39"/>
      <c r="G10" s="39"/>
      <c r="H10" s="39"/>
      <c r="I10" s="39"/>
      <c r="J10" s="39"/>
      <c r="K10" s="39"/>
      <c r="L10" s="39"/>
    </row>
    <row r="11" spans="1:12">
      <c r="A11" s="39" t="s">
        <v>1152</v>
      </c>
      <c r="B11" s="39">
        <v>1</v>
      </c>
      <c r="C11" s="39" t="s">
        <v>514</v>
      </c>
      <c r="D11" s="39"/>
      <c r="E11" s="39"/>
      <c r="F11" s="39"/>
      <c r="G11" s="39"/>
      <c r="H11" s="39"/>
      <c r="I11" s="39"/>
      <c r="J11" s="39"/>
      <c r="K11" s="39"/>
      <c r="L11" s="39"/>
    </row>
    <row r="12" spans="1:12">
      <c r="A12" s="39" t="s">
        <v>536</v>
      </c>
      <c r="B12" s="39">
        <v>1</v>
      </c>
      <c r="C12" s="39" t="s">
        <v>515</v>
      </c>
      <c r="D12" s="39"/>
      <c r="E12" s="39"/>
      <c r="F12" s="39"/>
      <c r="G12" s="39"/>
      <c r="H12" s="39"/>
      <c r="I12" s="39"/>
      <c r="J12" s="39"/>
      <c r="K12" s="39"/>
      <c r="L12" s="39"/>
    </row>
    <row r="13" spans="1:12">
      <c r="A13" s="73" t="s">
        <v>507</v>
      </c>
      <c r="B13" s="39"/>
      <c r="C13" s="62"/>
      <c r="D13" s="39"/>
      <c r="E13" s="39"/>
      <c r="F13" s="39"/>
      <c r="G13" s="39"/>
      <c r="H13" s="39"/>
      <c r="I13" s="39"/>
      <c r="J13" s="39"/>
      <c r="K13" s="39"/>
      <c r="L13" s="39"/>
    </row>
    <row r="14" spans="1:12">
      <c r="A14" s="74" t="s">
        <v>502</v>
      </c>
      <c r="B14" s="39">
        <v>2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>
      <c r="A15" s="74" t="s">
        <v>495</v>
      </c>
      <c r="B15" s="74" t="s">
        <v>504</v>
      </c>
      <c r="C15" s="74" t="s">
        <v>492</v>
      </c>
      <c r="D15" s="74" t="s">
        <v>493</v>
      </c>
      <c r="E15" s="74" t="s">
        <v>526</v>
      </c>
      <c r="F15" s="74"/>
      <c r="G15" s="39"/>
      <c r="H15" s="39"/>
      <c r="I15" s="39"/>
      <c r="J15" s="39"/>
      <c r="L15" s="39"/>
    </row>
    <row r="16" spans="1:12">
      <c r="A16" s="39" t="s">
        <v>479</v>
      </c>
      <c r="B16" s="39">
        <v>3</v>
      </c>
      <c r="C16" s="62" t="s">
        <v>1123</v>
      </c>
      <c r="D16" s="62" t="s">
        <v>534</v>
      </c>
      <c r="E16" s="39" t="s">
        <v>476</v>
      </c>
      <c r="F16" s="39"/>
      <c r="G16" s="39"/>
      <c r="H16" s="39"/>
      <c r="I16" s="39"/>
      <c r="J16" s="39"/>
      <c r="K16" s="39"/>
      <c r="L16" s="39"/>
    </row>
    <row r="17" spans="1:12" ht="22.5">
      <c r="A17" s="39" t="s">
        <v>477</v>
      </c>
      <c r="B17" s="39">
        <v>3</v>
      </c>
      <c r="C17" s="62" t="s">
        <v>503</v>
      </c>
      <c r="D17" s="62" t="s">
        <v>510</v>
      </c>
      <c r="E17" s="39" t="s">
        <v>476</v>
      </c>
      <c r="F17" s="39"/>
      <c r="G17" s="39"/>
      <c r="H17" s="39"/>
      <c r="I17" s="39"/>
      <c r="J17" s="39"/>
      <c r="K17" s="39"/>
      <c r="L17" s="39"/>
    </row>
    <row r="18" spans="1:12" ht="33.75">
      <c r="A18" s="73" t="s">
        <v>480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>
      <c r="A19" s="74" t="s">
        <v>517</v>
      </c>
      <c r="B19" s="39">
        <v>0</v>
      </c>
      <c r="D19" s="39"/>
      <c r="E19" s="39"/>
      <c r="F19" s="39"/>
      <c r="G19" s="39"/>
      <c r="H19" s="39"/>
      <c r="I19" s="39"/>
      <c r="J19" s="39"/>
      <c r="K19" s="39"/>
      <c r="L19" s="39"/>
    </row>
    <row r="20" spans="1:12">
      <c r="A20" s="74" t="s">
        <v>525</v>
      </c>
      <c r="B20" s="74" t="s">
        <v>504</v>
      </c>
      <c r="C20" s="83" t="s">
        <v>491</v>
      </c>
      <c r="D20" s="39"/>
      <c r="E20" s="39"/>
      <c r="F20" s="39"/>
      <c r="G20" s="39"/>
      <c r="H20" s="39"/>
      <c r="I20" s="39"/>
      <c r="J20" s="39"/>
      <c r="K20" s="39"/>
      <c r="L20" s="39"/>
    </row>
    <row r="21" spans="1:12">
      <c r="A21" s="39" t="s">
        <v>479</v>
      </c>
      <c r="B21" s="39">
        <v>0</v>
      </c>
      <c r="C21" s="39" t="s">
        <v>529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1:12">
      <c r="A22" s="39" t="s">
        <v>477</v>
      </c>
      <c r="B22" s="39">
        <v>0</v>
      </c>
      <c r="C22" s="39" t="s">
        <v>529</v>
      </c>
      <c r="D22" s="39"/>
      <c r="E22" s="39"/>
      <c r="F22" s="39"/>
      <c r="G22" s="39"/>
      <c r="H22" s="39"/>
      <c r="I22" s="39"/>
      <c r="J22" s="39"/>
      <c r="K22" s="39"/>
      <c r="L22" s="39"/>
    </row>
    <row r="23" spans="1:12">
      <c r="A23" s="73" t="s">
        <v>478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>
      <c r="A24" s="82" t="s">
        <v>530</v>
      </c>
      <c r="B24" s="39">
        <v>1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>
      <c r="A25" s="74" t="s">
        <v>496</v>
      </c>
      <c r="B25" s="74" t="s">
        <v>504</v>
      </c>
      <c r="C25" s="74" t="s">
        <v>497</v>
      </c>
      <c r="D25" s="74" t="s">
        <v>528</v>
      </c>
      <c r="E25" s="80" t="s">
        <v>494</v>
      </c>
      <c r="F25" s="80" t="s">
        <v>499</v>
      </c>
      <c r="G25" s="74" t="s">
        <v>527</v>
      </c>
      <c r="H25" s="74" t="s">
        <v>490</v>
      </c>
      <c r="I25" s="79" t="s">
        <v>522</v>
      </c>
      <c r="J25" s="79" t="s">
        <v>477</v>
      </c>
    </row>
    <row r="26" spans="1:12">
      <c r="A26" s="39" t="s">
        <v>1315</v>
      </c>
      <c r="B26" s="39">
        <v>8</v>
      </c>
      <c r="C26" s="39" t="s">
        <v>511</v>
      </c>
      <c r="D26" s="39" t="s">
        <v>498</v>
      </c>
      <c r="E26" s="77" t="s">
        <v>1322</v>
      </c>
      <c r="F26" s="77" t="s">
        <v>512</v>
      </c>
      <c r="G26" s="39" t="s">
        <v>513</v>
      </c>
      <c r="H26" s="39" t="s">
        <v>536</v>
      </c>
      <c r="I26" s="39" t="s">
        <v>476</v>
      </c>
      <c r="J26" s="39" t="s">
        <v>476</v>
      </c>
    </row>
    <row r="27" spans="1:12">
      <c r="A27" s="73" t="s">
        <v>508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38"/>
    </row>
    <row r="28" spans="1:12">
      <c r="A28" s="81" t="s">
        <v>535</v>
      </c>
      <c r="B28" s="39">
        <v>11</v>
      </c>
      <c r="D28" s="38"/>
      <c r="E28" s="38"/>
      <c r="F28" s="38"/>
      <c r="G28" s="38"/>
      <c r="H28" s="38"/>
      <c r="I28" s="38"/>
      <c r="J28" s="38"/>
      <c r="K28" s="38"/>
      <c r="L28" s="38"/>
    </row>
    <row r="29" spans="1:12">
      <c r="A29" s="81" t="s">
        <v>532</v>
      </c>
      <c r="B29" s="76" t="s">
        <v>504</v>
      </c>
      <c r="C29" s="76" t="s">
        <v>509</v>
      </c>
      <c r="D29" s="39"/>
      <c r="E29" s="39"/>
      <c r="F29" s="39"/>
      <c r="G29" s="39"/>
      <c r="H29" s="39"/>
      <c r="I29" s="39"/>
      <c r="J29" s="39"/>
    </row>
    <row r="30" spans="1:12">
      <c r="A30" s="39" t="s">
        <v>518</v>
      </c>
      <c r="B30" s="39">
        <v>1</v>
      </c>
      <c r="C30" s="39" t="s">
        <v>1131</v>
      </c>
    </row>
    <row r="31" spans="1:12">
      <c r="A31" s="39" t="s">
        <v>519</v>
      </c>
      <c r="B31" s="39">
        <v>1</v>
      </c>
      <c r="C31" s="39" t="s">
        <v>1132</v>
      </c>
    </row>
    <row r="32" spans="1:12">
      <c r="A32" s="39" t="s">
        <v>520</v>
      </c>
      <c r="B32" s="39">
        <v>1</v>
      </c>
      <c r="C32" s="39" t="s">
        <v>1133</v>
      </c>
    </row>
    <row r="33" spans="1:5">
      <c r="A33" s="39" t="s">
        <v>521</v>
      </c>
      <c r="B33" s="39">
        <v>1</v>
      </c>
      <c r="C33" s="39" t="s">
        <v>1134</v>
      </c>
      <c r="E33" s="75"/>
    </row>
    <row r="34" spans="1:5">
      <c r="A34" s="39" t="s">
        <v>1124</v>
      </c>
      <c r="B34" s="39">
        <v>1</v>
      </c>
      <c r="C34" s="39" t="s">
        <v>1135</v>
      </c>
      <c r="E34" s="75"/>
    </row>
    <row r="35" spans="1:5">
      <c r="A35" s="39" t="s">
        <v>1125</v>
      </c>
      <c r="B35" s="39">
        <v>1</v>
      </c>
      <c r="C35" s="39" t="s">
        <v>1136</v>
      </c>
    </row>
    <row r="36" spans="1:5">
      <c r="A36" s="39" t="s">
        <v>1126</v>
      </c>
      <c r="B36" s="39">
        <v>1</v>
      </c>
      <c r="C36" s="39" t="s">
        <v>1137</v>
      </c>
    </row>
    <row r="37" spans="1:5">
      <c r="A37" s="39" t="s">
        <v>1127</v>
      </c>
      <c r="B37" s="39">
        <v>1</v>
      </c>
      <c r="C37" s="39" t="s">
        <v>1138</v>
      </c>
    </row>
    <row r="38" spans="1:5">
      <c r="A38" s="39" t="s">
        <v>1128</v>
      </c>
      <c r="B38" s="39">
        <v>1</v>
      </c>
      <c r="C38" s="39" t="s">
        <v>1139</v>
      </c>
    </row>
    <row r="39" spans="1:5">
      <c r="A39" s="39" t="s">
        <v>1129</v>
      </c>
      <c r="B39" s="39">
        <v>1</v>
      </c>
      <c r="C39" s="39" t="s">
        <v>1140</v>
      </c>
    </row>
    <row r="40" spans="1:5">
      <c r="A40" s="39" t="s">
        <v>1130</v>
      </c>
      <c r="B40" s="39">
        <v>1</v>
      </c>
      <c r="C40" s="39" t="s">
        <v>1141</v>
      </c>
    </row>
    <row r="42" spans="1:5"/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5"/>
  <sheetViews>
    <sheetView zoomScale="115" zoomScaleNormal="115" workbookViewId="0">
      <selection activeCell="C7" sqref="C7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9.5546875" style="11" customWidth="1"/>
    <col min="4" max="4" width="9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8.6640625" style="5" customWidth="1"/>
    <col min="9" max="9" width="20.21875" style="5" bestFit="1" customWidth="1"/>
    <col min="10" max="16384" width="8.88671875" style="5"/>
  </cols>
  <sheetData>
    <row r="1" spans="1:9">
      <c r="A1" s="1" t="s">
        <v>537</v>
      </c>
      <c r="B1" s="53" t="s">
        <v>538</v>
      </c>
      <c r="C1" s="54" t="s">
        <v>539</v>
      </c>
      <c r="D1" s="54" t="s">
        <v>539</v>
      </c>
      <c r="E1" s="55"/>
      <c r="F1" s="55"/>
      <c r="G1" s="55"/>
      <c r="H1" s="55"/>
      <c r="I1" s="55"/>
    </row>
    <row r="2" spans="1:9">
      <c r="A2" s="1" t="s">
        <v>540</v>
      </c>
      <c r="B2" s="53" t="s">
        <v>1144</v>
      </c>
      <c r="C2" s="54"/>
      <c r="D2" s="55"/>
      <c r="E2" s="55"/>
      <c r="F2" s="55"/>
      <c r="G2" s="55"/>
      <c r="H2" s="55"/>
      <c r="I2" s="55"/>
    </row>
    <row r="3" spans="1:9">
      <c r="A3" s="2" t="s">
        <v>542</v>
      </c>
      <c r="B3" s="12">
        <v>1</v>
      </c>
      <c r="C3" s="54"/>
      <c r="D3" s="55"/>
      <c r="E3" s="55"/>
      <c r="F3" s="55"/>
      <c r="G3" s="55"/>
      <c r="H3" s="55"/>
      <c r="I3" s="55"/>
    </row>
    <row r="4" spans="1:9">
      <c r="A4" s="2" t="s">
        <v>543</v>
      </c>
      <c r="B4" s="12">
        <v>1</v>
      </c>
      <c r="C4" s="54"/>
      <c r="D4" s="55"/>
      <c r="E4" s="55"/>
      <c r="F4" s="55"/>
      <c r="G4" s="55"/>
      <c r="H4" s="55"/>
      <c r="I4" s="55"/>
    </row>
    <row r="5" spans="1:9" ht="23.25" customHeight="1">
      <c r="A5" s="4" t="s">
        <v>544</v>
      </c>
      <c r="B5" s="12" t="s">
        <v>15</v>
      </c>
      <c r="C5" s="54"/>
      <c r="D5" s="55"/>
      <c r="E5" s="55"/>
      <c r="F5" s="55"/>
      <c r="G5" s="55"/>
      <c r="H5" s="55"/>
      <c r="I5" s="55"/>
    </row>
    <row r="6" spans="1:9" ht="33.75">
      <c r="A6" s="4" t="s">
        <v>545</v>
      </c>
      <c r="B6" s="12" t="s">
        <v>546</v>
      </c>
      <c r="C6" s="54"/>
      <c r="D6" s="55"/>
      <c r="E6" s="55"/>
      <c r="F6" s="55"/>
      <c r="G6" s="55"/>
      <c r="H6" s="55"/>
      <c r="I6" s="55"/>
    </row>
    <row r="7" spans="1:9" ht="33.75">
      <c r="A7" s="51" t="s">
        <v>547</v>
      </c>
      <c r="B7" s="51" t="s">
        <v>548</v>
      </c>
      <c r="C7" s="108" t="s">
        <v>1347</v>
      </c>
      <c r="D7" s="3" t="s">
        <v>549</v>
      </c>
      <c r="E7" s="3" t="s">
        <v>550</v>
      </c>
      <c r="F7" s="51" t="s">
        <v>551</v>
      </c>
      <c r="G7" s="3" t="s">
        <v>552</v>
      </c>
      <c r="H7" s="3" t="s">
        <v>553</v>
      </c>
      <c r="I7" s="55"/>
    </row>
    <row r="8" spans="1:9" s="69" customFormat="1">
      <c r="A8" s="59" t="s">
        <v>554</v>
      </c>
      <c r="B8" s="59" t="s">
        <v>555</v>
      </c>
      <c r="C8" s="58"/>
      <c r="D8" s="59" t="s">
        <v>556</v>
      </c>
      <c r="E8" s="59" t="s">
        <v>18</v>
      </c>
      <c r="F8" s="59" t="s">
        <v>7</v>
      </c>
      <c r="G8" s="59" t="s">
        <v>17</v>
      </c>
      <c r="H8" s="59" t="s">
        <v>18</v>
      </c>
      <c r="I8" s="55" t="s">
        <v>557</v>
      </c>
    </row>
    <row r="9" spans="1:9">
      <c r="A9" s="56" t="s">
        <v>158</v>
      </c>
      <c r="B9" s="57" t="s">
        <v>24</v>
      </c>
      <c r="C9" s="67"/>
      <c r="D9" s="57" t="s">
        <v>24</v>
      </c>
      <c r="E9" s="72" t="s">
        <v>18</v>
      </c>
      <c r="F9" s="57" t="s">
        <v>7</v>
      </c>
      <c r="G9" s="57" t="s">
        <v>17</v>
      </c>
      <c r="H9" s="57" t="s">
        <v>18</v>
      </c>
      <c r="I9" s="55" t="s">
        <v>159</v>
      </c>
    </row>
    <row r="10" spans="1:9">
      <c r="A10" s="58" t="s">
        <v>19</v>
      </c>
      <c r="B10" s="59" t="s">
        <v>558</v>
      </c>
      <c r="C10" s="59"/>
      <c r="D10" s="59" t="s">
        <v>160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21</v>
      </c>
    </row>
    <row r="11" spans="1:9">
      <c r="A11" s="58" t="s">
        <v>19</v>
      </c>
      <c r="B11" s="59" t="s">
        <v>558</v>
      </c>
      <c r="C11" s="59"/>
      <c r="D11" s="59" t="s">
        <v>22</v>
      </c>
      <c r="E11" s="48" t="s">
        <v>18</v>
      </c>
      <c r="F11" s="59" t="s">
        <v>7</v>
      </c>
      <c r="G11" s="59" t="s">
        <v>20</v>
      </c>
      <c r="H11" s="59" t="s">
        <v>18</v>
      </c>
      <c r="I11" s="40" t="s">
        <v>23</v>
      </c>
    </row>
    <row r="12" spans="1:9">
      <c r="A12" s="58" t="s">
        <v>363</v>
      </c>
      <c r="B12" s="59" t="s">
        <v>559</v>
      </c>
      <c r="C12" s="59"/>
      <c r="D12" s="59" t="s">
        <v>24</v>
      </c>
      <c r="E12" s="48" t="s">
        <v>18</v>
      </c>
      <c r="F12" s="59" t="s">
        <v>7</v>
      </c>
      <c r="G12" s="59" t="s">
        <v>17</v>
      </c>
      <c r="H12" s="59" t="s">
        <v>18</v>
      </c>
      <c r="I12" s="55" t="s">
        <v>25</v>
      </c>
    </row>
    <row r="13" spans="1:9">
      <c r="A13" s="7" t="s">
        <v>26</v>
      </c>
      <c r="B13" s="60" t="s">
        <v>560</v>
      </c>
      <c r="C13" s="60"/>
      <c r="D13" s="59" t="s">
        <v>561</v>
      </c>
      <c r="E13" s="8" t="s">
        <v>18</v>
      </c>
      <c r="F13" s="60" t="s">
        <v>7</v>
      </c>
      <c r="G13" s="60" t="s">
        <v>20</v>
      </c>
      <c r="H13" s="60" t="s">
        <v>18</v>
      </c>
      <c r="I13" s="61" t="s">
        <v>562</v>
      </c>
    </row>
    <row r="14" spans="1:9">
      <c r="A14" s="7" t="s">
        <v>27</v>
      </c>
      <c r="B14" s="60" t="s">
        <v>563</v>
      </c>
      <c r="C14" s="60"/>
      <c r="D14" s="59" t="s">
        <v>564</v>
      </c>
      <c r="E14" s="8" t="s">
        <v>28</v>
      </c>
      <c r="F14" s="60" t="s">
        <v>7</v>
      </c>
      <c r="G14" s="60" t="s">
        <v>20</v>
      </c>
      <c r="H14" s="60" t="s">
        <v>18</v>
      </c>
      <c r="I14" s="61" t="s">
        <v>565</v>
      </c>
    </row>
    <row r="15" spans="1:9">
      <c r="A15" s="7" t="s">
        <v>26</v>
      </c>
      <c r="B15" s="60" t="s">
        <v>560</v>
      </c>
      <c r="C15" s="60"/>
      <c r="D15" s="59" t="s">
        <v>566</v>
      </c>
      <c r="E15" s="8" t="s">
        <v>18</v>
      </c>
      <c r="F15" s="60" t="s">
        <v>7</v>
      </c>
      <c r="G15" s="60" t="s">
        <v>20</v>
      </c>
      <c r="H15" s="60" t="s">
        <v>18</v>
      </c>
      <c r="I15" s="61" t="s">
        <v>567</v>
      </c>
    </row>
    <row r="16" spans="1:9">
      <c r="A16" s="86" t="s">
        <v>568</v>
      </c>
      <c r="B16" s="87" t="s">
        <v>569</v>
      </c>
      <c r="C16" s="87"/>
      <c r="D16" s="59" t="s">
        <v>570</v>
      </c>
      <c r="E16" s="88" t="s">
        <v>18</v>
      </c>
      <c r="F16" s="87" t="s">
        <v>7</v>
      </c>
      <c r="G16" s="87" t="s">
        <v>20</v>
      </c>
      <c r="H16" s="87" t="s">
        <v>18</v>
      </c>
      <c r="I16" s="89" t="s">
        <v>571</v>
      </c>
    </row>
    <row r="17" spans="1:9">
      <c r="A17" s="86" t="s">
        <v>572</v>
      </c>
      <c r="B17" s="87" t="s">
        <v>573</v>
      </c>
      <c r="C17" s="87"/>
      <c r="D17" s="59" t="s">
        <v>574</v>
      </c>
      <c r="E17" s="88" t="s">
        <v>28</v>
      </c>
      <c r="F17" s="87" t="s">
        <v>7</v>
      </c>
      <c r="G17" s="87" t="s">
        <v>20</v>
      </c>
      <c r="H17" s="87" t="s">
        <v>18</v>
      </c>
      <c r="I17" s="89" t="s">
        <v>575</v>
      </c>
    </row>
    <row r="18" spans="1:9">
      <c r="A18" s="86" t="s">
        <v>568</v>
      </c>
      <c r="B18" s="87" t="s">
        <v>569</v>
      </c>
      <c r="C18" s="87"/>
      <c r="D18" s="59" t="s">
        <v>576</v>
      </c>
      <c r="E18" s="88" t="s">
        <v>18</v>
      </c>
      <c r="F18" s="87" t="s">
        <v>7</v>
      </c>
      <c r="G18" s="87" t="s">
        <v>20</v>
      </c>
      <c r="H18" s="87" t="s">
        <v>18</v>
      </c>
      <c r="I18" s="89" t="s">
        <v>577</v>
      </c>
    </row>
    <row r="19" spans="1:9">
      <c r="A19" s="90" t="s">
        <v>29</v>
      </c>
      <c r="B19" s="91" t="s">
        <v>578</v>
      </c>
      <c r="C19" s="91"/>
      <c r="D19" s="91" t="s">
        <v>1323</v>
      </c>
      <c r="E19" s="92" t="s">
        <v>18</v>
      </c>
      <c r="F19" s="91" t="s">
        <v>7</v>
      </c>
      <c r="G19" s="91" t="s">
        <v>20</v>
      </c>
      <c r="H19" s="91" t="s">
        <v>18</v>
      </c>
      <c r="I19" s="93" t="s">
        <v>579</v>
      </c>
    </row>
    <row r="20" spans="1:9">
      <c r="A20" s="90" t="s">
        <v>30</v>
      </c>
      <c r="B20" s="91" t="s">
        <v>580</v>
      </c>
      <c r="C20" s="91"/>
      <c r="D20" s="91" t="s">
        <v>1324</v>
      </c>
      <c r="E20" s="92" t="s">
        <v>28</v>
      </c>
      <c r="F20" s="91" t="s">
        <v>7</v>
      </c>
      <c r="G20" s="91" t="s">
        <v>20</v>
      </c>
      <c r="H20" s="91" t="s">
        <v>18</v>
      </c>
      <c r="I20" s="93" t="s">
        <v>1037</v>
      </c>
    </row>
    <row r="21" spans="1:9">
      <c r="A21" s="90" t="s">
        <v>29</v>
      </c>
      <c r="B21" s="91" t="s">
        <v>581</v>
      </c>
      <c r="C21" s="91"/>
      <c r="D21" s="91" t="s">
        <v>1325</v>
      </c>
      <c r="E21" s="92" t="s">
        <v>18</v>
      </c>
      <c r="F21" s="91" t="s">
        <v>7</v>
      </c>
      <c r="G21" s="91" t="s">
        <v>20</v>
      </c>
      <c r="H21" s="91" t="s">
        <v>18</v>
      </c>
      <c r="I21" s="93" t="s">
        <v>31</v>
      </c>
    </row>
    <row r="22" spans="1:9">
      <c r="A22" s="94" t="s">
        <v>32</v>
      </c>
      <c r="B22" s="95" t="s">
        <v>582</v>
      </c>
      <c r="C22" s="95"/>
      <c r="D22" s="59" t="s">
        <v>583</v>
      </c>
      <c r="E22" s="96" t="s">
        <v>18</v>
      </c>
      <c r="F22" s="95" t="s">
        <v>7</v>
      </c>
      <c r="G22" s="95" t="s">
        <v>20</v>
      </c>
      <c r="H22" s="95" t="s">
        <v>18</v>
      </c>
      <c r="I22" s="97" t="s">
        <v>584</v>
      </c>
    </row>
    <row r="23" spans="1:9">
      <c r="A23" s="94" t="s">
        <v>33</v>
      </c>
      <c r="B23" s="95" t="s">
        <v>585</v>
      </c>
      <c r="C23" s="95"/>
      <c r="D23" s="59" t="s">
        <v>586</v>
      </c>
      <c r="E23" s="96" t="s">
        <v>28</v>
      </c>
      <c r="F23" s="95" t="s">
        <v>7</v>
      </c>
      <c r="G23" s="95" t="s">
        <v>20</v>
      </c>
      <c r="H23" s="95" t="s">
        <v>18</v>
      </c>
      <c r="I23" s="97"/>
    </row>
    <row r="24" spans="1:9">
      <c r="A24" s="94" t="s">
        <v>32</v>
      </c>
      <c r="B24" s="95" t="s">
        <v>582</v>
      </c>
      <c r="C24" s="95"/>
      <c r="D24" s="59" t="s">
        <v>587</v>
      </c>
      <c r="E24" s="96" t="s">
        <v>18</v>
      </c>
      <c r="F24" s="95" t="s">
        <v>7</v>
      </c>
      <c r="G24" s="95" t="s">
        <v>20</v>
      </c>
      <c r="H24" s="95" t="s">
        <v>18</v>
      </c>
      <c r="I24" s="97" t="s">
        <v>34</v>
      </c>
    </row>
    <row r="25" spans="1:9">
      <c r="A25" s="7" t="s">
        <v>35</v>
      </c>
      <c r="B25" s="60" t="s">
        <v>588</v>
      </c>
      <c r="C25" s="60"/>
      <c r="D25" s="59" t="s">
        <v>589</v>
      </c>
      <c r="E25" s="8" t="s">
        <v>18</v>
      </c>
      <c r="F25" s="60" t="s">
        <v>7</v>
      </c>
      <c r="G25" s="60" t="s">
        <v>20</v>
      </c>
      <c r="H25" s="60" t="s">
        <v>18</v>
      </c>
      <c r="I25" s="61" t="s">
        <v>590</v>
      </c>
    </row>
    <row r="26" spans="1:9">
      <c r="A26" s="7" t="s">
        <v>36</v>
      </c>
      <c r="B26" s="60" t="s">
        <v>591</v>
      </c>
      <c r="C26" s="60"/>
      <c r="D26" s="59" t="s">
        <v>592</v>
      </c>
      <c r="E26" s="8" t="s">
        <v>28</v>
      </c>
      <c r="F26" s="60" t="s">
        <v>7</v>
      </c>
      <c r="G26" s="60" t="s">
        <v>20</v>
      </c>
      <c r="H26" s="60" t="s">
        <v>18</v>
      </c>
      <c r="I26" s="61" t="s">
        <v>593</v>
      </c>
    </row>
    <row r="27" spans="1:9">
      <c r="A27" s="7" t="s">
        <v>35</v>
      </c>
      <c r="B27" s="60" t="s">
        <v>588</v>
      </c>
      <c r="C27" s="60"/>
      <c r="D27" s="59" t="s">
        <v>594</v>
      </c>
      <c r="E27" s="8" t="s">
        <v>18</v>
      </c>
      <c r="F27" s="60" t="s">
        <v>7</v>
      </c>
      <c r="G27" s="60" t="s">
        <v>20</v>
      </c>
      <c r="H27" s="60" t="s">
        <v>18</v>
      </c>
      <c r="I27" s="61" t="s">
        <v>481</v>
      </c>
    </row>
    <row r="28" spans="1:9">
      <c r="A28" s="94" t="s">
        <v>595</v>
      </c>
      <c r="B28" s="95" t="s">
        <v>596</v>
      </c>
      <c r="C28" s="95"/>
      <c r="D28" s="59" t="s">
        <v>597</v>
      </c>
      <c r="E28" s="96" t="s">
        <v>18</v>
      </c>
      <c r="F28" s="95" t="s">
        <v>7</v>
      </c>
      <c r="G28" s="95" t="s">
        <v>20</v>
      </c>
      <c r="H28" s="95" t="s">
        <v>18</v>
      </c>
      <c r="I28" s="97" t="s">
        <v>598</v>
      </c>
    </row>
    <row r="29" spans="1:9" ht="24">
      <c r="A29" s="94" t="s">
        <v>599</v>
      </c>
      <c r="B29" s="95" t="s">
        <v>600</v>
      </c>
      <c r="C29" s="95"/>
      <c r="D29" s="59" t="s">
        <v>601</v>
      </c>
      <c r="E29" s="96" t="s">
        <v>28</v>
      </c>
      <c r="F29" s="95" t="s">
        <v>7</v>
      </c>
      <c r="G29" s="95" t="s">
        <v>20</v>
      </c>
      <c r="H29" s="95" t="s">
        <v>18</v>
      </c>
      <c r="I29" s="98" t="s">
        <v>602</v>
      </c>
    </row>
    <row r="30" spans="1:9">
      <c r="A30" s="94" t="s">
        <v>595</v>
      </c>
      <c r="B30" s="95" t="s">
        <v>596</v>
      </c>
      <c r="C30" s="95"/>
      <c r="D30" s="59" t="s">
        <v>603</v>
      </c>
      <c r="E30" s="96" t="s">
        <v>18</v>
      </c>
      <c r="F30" s="95" t="s">
        <v>7</v>
      </c>
      <c r="G30" s="95" t="s">
        <v>20</v>
      </c>
      <c r="H30" s="95" t="s">
        <v>18</v>
      </c>
      <c r="I30" s="97" t="s">
        <v>604</v>
      </c>
    </row>
    <row r="31" spans="1:9">
      <c r="A31" s="58" t="s">
        <v>363</v>
      </c>
      <c r="B31" s="59" t="s">
        <v>605</v>
      </c>
      <c r="C31" s="59"/>
      <c r="D31" s="59" t="s">
        <v>606</v>
      </c>
      <c r="E31" s="48" t="s">
        <v>18</v>
      </c>
      <c r="F31" s="59" t="s">
        <v>7</v>
      </c>
      <c r="G31" s="59" t="s">
        <v>17</v>
      </c>
      <c r="H31" s="59" t="s">
        <v>18</v>
      </c>
      <c r="I31" s="55" t="s">
        <v>37</v>
      </c>
    </row>
    <row r="32" spans="1:9">
      <c r="A32" s="58" t="s">
        <v>19</v>
      </c>
      <c r="B32" s="59" t="s">
        <v>607</v>
      </c>
      <c r="C32" s="59"/>
      <c r="D32" s="59" t="s">
        <v>39</v>
      </c>
      <c r="E32" s="48" t="s">
        <v>18</v>
      </c>
      <c r="F32" s="59" t="s">
        <v>7</v>
      </c>
      <c r="G32" s="59" t="s">
        <v>20</v>
      </c>
      <c r="H32" s="59" t="s">
        <v>18</v>
      </c>
      <c r="I32" s="119" t="s">
        <v>608</v>
      </c>
    </row>
    <row r="33" spans="1:9">
      <c r="A33" s="58" t="s">
        <v>19</v>
      </c>
      <c r="B33" s="59" t="s">
        <v>607</v>
      </c>
      <c r="C33" s="59"/>
      <c r="D33" s="59" t="s">
        <v>161</v>
      </c>
      <c r="E33" s="48" t="s">
        <v>18</v>
      </c>
      <c r="F33" s="59" t="s">
        <v>7</v>
      </c>
      <c r="G33" s="59" t="s">
        <v>20</v>
      </c>
      <c r="H33" s="59" t="s">
        <v>18</v>
      </c>
      <c r="I33" s="119"/>
    </row>
    <row r="34" spans="1:9">
      <c r="A34" s="58" t="s">
        <v>38</v>
      </c>
      <c r="B34" s="59" t="s">
        <v>609</v>
      </c>
      <c r="C34" s="59"/>
      <c r="D34" s="59" t="s">
        <v>610</v>
      </c>
      <c r="E34" s="48" t="s">
        <v>18</v>
      </c>
      <c r="F34" s="59" t="s">
        <v>7</v>
      </c>
      <c r="G34" s="59" t="s">
        <v>20</v>
      </c>
      <c r="H34" s="59" t="s">
        <v>18</v>
      </c>
      <c r="I34" s="119" t="s">
        <v>611</v>
      </c>
    </row>
    <row r="35" spans="1:9">
      <c r="A35" s="58" t="s">
        <v>38</v>
      </c>
      <c r="B35" s="59" t="s">
        <v>609</v>
      </c>
      <c r="C35" s="59"/>
      <c r="D35" s="59" t="s">
        <v>612</v>
      </c>
      <c r="E35" s="48" t="s">
        <v>18</v>
      </c>
      <c r="F35" s="59" t="s">
        <v>7</v>
      </c>
      <c r="G35" s="59" t="s">
        <v>20</v>
      </c>
      <c r="H35" s="59" t="s">
        <v>18</v>
      </c>
      <c r="I35" s="119"/>
    </row>
  </sheetData>
  <mergeCells count="2">
    <mergeCell ref="I32:I33"/>
    <mergeCell ref="I34:I35"/>
  </mergeCells>
  <phoneticPr fontId="14" type="noConversion"/>
  <dataValidations count="3">
    <dataValidation type="list" allowBlank="1" showInputMessage="1" sqref="F35 F7:F8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H11"/>
  <sheetViews>
    <sheetView zoomScaleNormal="100" workbookViewId="0">
      <selection activeCell="E32" sqref="E32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30" style="5" customWidth="1"/>
    <col min="9" max="16384" width="8.88671875" style="5"/>
  </cols>
  <sheetData>
    <row r="1" spans="1:8">
      <c r="A1" s="1" t="s">
        <v>537</v>
      </c>
      <c r="B1" s="53" t="s">
        <v>613</v>
      </c>
      <c r="C1" s="54" t="s">
        <v>614</v>
      </c>
      <c r="D1" s="55"/>
      <c r="E1" s="55"/>
      <c r="F1" s="55"/>
      <c r="G1" s="55"/>
      <c r="H1" s="55"/>
    </row>
    <row r="2" spans="1:8">
      <c r="A2" s="1" t="s">
        <v>615</v>
      </c>
      <c r="B2" s="53" t="s">
        <v>616</v>
      </c>
      <c r="C2" s="55"/>
      <c r="D2" s="55"/>
      <c r="E2" s="55"/>
      <c r="F2" s="55"/>
      <c r="G2" s="55"/>
      <c r="H2" s="55"/>
    </row>
    <row r="3" spans="1:8">
      <c r="A3" s="2" t="s">
        <v>617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618</v>
      </c>
      <c r="B4" s="12">
        <v>2</v>
      </c>
      <c r="C4" s="55"/>
      <c r="D4" s="55"/>
      <c r="E4" s="55"/>
      <c r="F4" s="55"/>
      <c r="G4" s="55"/>
      <c r="H4" s="55"/>
    </row>
    <row r="5" spans="1:8" ht="23.25" customHeight="1">
      <c r="A5" s="4" t="s">
        <v>619</v>
      </c>
      <c r="B5" s="12" t="s">
        <v>620</v>
      </c>
      <c r="C5" s="55"/>
      <c r="D5" s="55"/>
      <c r="E5" s="55"/>
      <c r="F5" s="55"/>
      <c r="G5" s="55"/>
      <c r="H5" s="55"/>
    </row>
    <row r="6" spans="1:8" ht="33.75">
      <c r="A6" s="4" t="s">
        <v>621</v>
      </c>
      <c r="B6" s="12" t="s">
        <v>620</v>
      </c>
      <c r="C6" s="4" t="s">
        <v>622</v>
      </c>
      <c r="D6" s="12" t="s">
        <v>9</v>
      </c>
      <c r="E6" s="55"/>
      <c r="F6" s="55"/>
      <c r="G6" s="55"/>
      <c r="H6" s="55"/>
    </row>
    <row r="7" spans="1:8" ht="33.75">
      <c r="A7" s="51" t="s">
        <v>623</v>
      </c>
      <c r="B7" s="51" t="s">
        <v>624</v>
      </c>
      <c r="C7" s="3" t="s">
        <v>625</v>
      </c>
      <c r="D7" s="3" t="s">
        <v>626</v>
      </c>
      <c r="E7" s="51" t="s">
        <v>627</v>
      </c>
      <c r="F7" s="3" t="s">
        <v>628</v>
      </c>
      <c r="G7" s="3" t="s">
        <v>629</v>
      </c>
      <c r="H7" s="55"/>
    </row>
    <row r="8" spans="1:8">
      <c r="A8" s="58" t="s">
        <v>164</v>
      </c>
      <c r="B8" s="59" t="s">
        <v>165</v>
      </c>
      <c r="C8" s="59" t="s">
        <v>166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167</v>
      </c>
    </row>
    <row r="9" spans="1:8" ht="60">
      <c r="A9" s="58" t="s">
        <v>630</v>
      </c>
      <c r="B9" s="59" t="s">
        <v>135</v>
      </c>
      <c r="C9" s="59" t="s">
        <v>631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632</v>
      </c>
    </row>
    <row r="10" spans="1:8">
      <c r="A10" s="58" t="s">
        <v>155</v>
      </c>
      <c r="B10" s="59" t="s">
        <v>633</v>
      </c>
      <c r="C10" s="59" t="s">
        <v>85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634</v>
      </c>
    </row>
    <row r="11" spans="1:8" s="55" customFormat="1">
      <c r="A11" s="58" t="s">
        <v>1237</v>
      </c>
      <c r="B11" s="59" t="s">
        <v>1235</v>
      </c>
      <c r="C11" s="59" t="s">
        <v>1236</v>
      </c>
      <c r="D11" s="48" t="s">
        <v>18</v>
      </c>
      <c r="E11" s="59" t="s">
        <v>7</v>
      </c>
      <c r="F11" s="59" t="s">
        <v>17</v>
      </c>
      <c r="G11" s="59" t="s">
        <v>18</v>
      </c>
      <c r="H11" s="55" t="s">
        <v>1341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H10"/>
  <sheetViews>
    <sheetView zoomScaleNormal="100" workbookViewId="0">
      <selection activeCell="H10" sqref="H10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109375" style="5" customWidth="1"/>
    <col min="9" max="16384" width="8.88671875" style="5"/>
  </cols>
  <sheetData>
    <row r="1" spans="1:8">
      <c r="A1" s="1" t="s">
        <v>537</v>
      </c>
      <c r="B1" s="53" t="s">
        <v>365</v>
      </c>
      <c r="C1" s="54" t="s">
        <v>635</v>
      </c>
      <c r="D1" s="55"/>
      <c r="E1" s="55"/>
      <c r="F1" s="55"/>
      <c r="G1" s="55"/>
      <c r="H1" s="55"/>
    </row>
    <row r="2" spans="1:8">
      <c r="A2" s="1" t="s">
        <v>540</v>
      </c>
      <c r="B2" s="53" t="s">
        <v>541</v>
      </c>
      <c r="C2" s="55"/>
      <c r="D2" s="55"/>
      <c r="E2" s="55"/>
      <c r="F2" s="55"/>
      <c r="G2" s="55"/>
      <c r="H2" s="55"/>
    </row>
    <row r="3" spans="1:8">
      <c r="A3" s="2" t="s">
        <v>542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543</v>
      </c>
      <c r="B4" s="12">
        <v>3</v>
      </c>
      <c r="C4" s="55"/>
      <c r="D4" s="55"/>
      <c r="E4" s="55"/>
      <c r="F4" s="55"/>
      <c r="G4" s="55"/>
      <c r="H4" s="55"/>
    </row>
    <row r="5" spans="1:8" ht="23.25" customHeight="1">
      <c r="A5" s="4" t="s">
        <v>544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545</v>
      </c>
      <c r="B6" s="12" t="s">
        <v>15</v>
      </c>
      <c r="C6" s="4" t="s">
        <v>636</v>
      </c>
      <c r="D6" s="12" t="s">
        <v>13</v>
      </c>
      <c r="E6" s="55"/>
      <c r="F6" s="55"/>
      <c r="G6" s="55"/>
      <c r="H6" s="55"/>
    </row>
    <row r="7" spans="1:8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637</v>
      </c>
      <c r="F7" s="3" t="s">
        <v>552</v>
      </c>
      <c r="G7" s="3" t="s">
        <v>553</v>
      </c>
      <c r="H7" s="55"/>
    </row>
    <row r="8" spans="1:8">
      <c r="A8" s="58" t="s">
        <v>164</v>
      </c>
      <c r="B8" s="59" t="s">
        <v>165</v>
      </c>
      <c r="C8" s="59" t="s">
        <v>166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167</v>
      </c>
    </row>
    <row r="9" spans="1:8" ht="60">
      <c r="A9" s="58" t="s">
        <v>170</v>
      </c>
      <c r="B9" s="59" t="s">
        <v>135</v>
      </c>
      <c r="C9" s="59" t="s">
        <v>638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171</v>
      </c>
    </row>
    <row r="10" spans="1:8">
      <c r="A10" s="58" t="s">
        <v>1237</v>
      </c>
      <c r="B10" s="59" t="s">
        <v>1235</v>
      </c>
      <c r="C10" s="59" t="s">
        <v>1236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1340</v>
      </c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35"/>
  <sheetViews>
    <sheetView zoomScaleNormal="100" workbookViewId="0">
      <selection activeCell="C7" sqref="C7"/>
    </sheetView>
  </sheetViews>
  <sheetFormatPr defaultColWidth="8.88671875" defaultRowHeight="12"/>
  <cols>
    <col min="1" max="1" width="12.21875" style="5" bestFit="1" customWidth="1"/>
    <col min="2" max="2" width="10.77734375" style="5" bestFit="1" customWidth="1"/>
    <col min="3" max="3" width="10.77734375" style="55" customWidth="1"/>
    <col min="4" max="4" width="12.21875" style="5" bestFit="1" customWidth="1"/>
    <col min="5" max="5" width="12.44140625" style="5" customWidth="1"/>
    <col min="6" max="6" width="9" style="5" bestFit="1" customWidth="1"/>
    <col min="7" max="7" width="9.21875" style="5" customWidth="1"/>
    <col min="8" max="8" width="8.6640625" style="5" customWidth="1"/>
    <col min="9" max="9" width="24" style="5" bestFit="1" customWidth="1"/>
    <col min="10" max="10" width="12.21875" style="5" bestFit="1" customWidth="1"/>
    <col min="11" max="11" width="28.21875" style="5" bestFit="1" customWidth="1"/>
    <col min="12" max="12" width="22.44140625" style="55" bestFit="1" customWidth="1"/>
    <col min="13" max="13" width="18.109375" style="5" bestFit="1" customWidth="1"/>
    <col min="14" max="16384" width="8.88671875" style="5"/>
  </cols>
  <sheetData>
    <row r="1" spans="1:13">
      <c r="A1" s="1" t="s">
        <v>537</v>
      </c>
      <c r="B1" s="53" t="s">
        <v>366</v>
      </c>
      <c r="C1" s="54" t="s">
        <v>639</v>
      </c>
      <c r="D1" s="54"/>
      <c r="E1" s="55"/>
      <c r="F1" s="55"/>
      <c r="G1" s="55"/>
      <c r="H1" s="55"/>
      <c r="I1" s="55"/>
    </row>
    <row r="2" spans="1:13">
      <c r="A2" s="1" t="s">
        <v>540</v>
      </c>
      <c r="B2" s="53" t="s">
        <v>640</v>
      </c>
      <c r="C2" s="100"/>
      <c r="D2" s="55"/>
      <c r="E2" s="55"/>
      <c r="F2" s="55"/>
      <c r="G2" s="55"/>
      <c r="H2" s="55"/>
      <c r="I2" s="55"/>
    </row>
    <row r="3" spans="1:13">
      <c r="A3" s="2" t="s">
        <v>542</v>
      </c>
      <c r="B3" s="12">
        <v>1</v>
      </c>
      <c r="C3" s="100"/>
      <c r="D3" s="55"/>
      <c r="E3" s="55"/>
      <c r="F3" s="55"/>
      <c r="G3" s="55"/>
      <c r="H3" s="55"/>
      <c r="I3" s="55"/>
    </row>
    <row r="4" spans="1:13">
      <c r="A4" s="2" t="s">
        <v>543</v>
      </c>
      <c r="B4" s="12">
        <v>4</v>
      </c>
      <c r="C4" s="100"/>
      <c r="D4" s="55"/>
      <c r="E4" s="55"/>
      <c r="F4" s="55"/>
      <c r="G4" s="55"/>
      <c r="H4" s="55"/>
      <c r="I4" s="55"/>
    </row>
    <row r="5" spans="1:13" ht="33.75">
      <c r="A5" s="4" t="s">
        <v>544</v>
      </c>
      <c r="B5" s="12" t="s">
        <v>15</v>
      </c>
      <c r="C5" s="100"/>
      <c r="D5" s="55"/>
      <c r="E5" s="55"/>
      <c r="F5" s="55"/>
      <c r="G5" s="55"/>
      <c r="H5" s="55"/>
      <c r="I5" s="55"/>
    </row>
    <row r="6" spans="1:13" ht="33.75">
      <c r="A6" s="4" t="s">
        <v>545</v>
      </c>
      <c r="B6" s="12" t="s">
        <v>15</v>
      </c>
      <c r="C6" s="100"/>
      <c r="D6" s="55"/>
      <c r="E6" s="55"/>
      <c r="F6" s="55"/>
      <c r="G6" s="55"/>
      <c r="H6" s="55"/>
      <c r="I6" s="55"/>
    </row>
    <row r="7" spans="1:13" ht="33.75">
      <c r="A7" s="51" t="s">
        <v>547</v>
      </c>
      <c r="B7" s="51" t="s">
        <v>548</v>
      </c>
      <c r="C7" s="51" t="s">
        <v>1347</v>
      </c>
      <c r="D7" s="3" t="s">
        <v>549</v>
      </c>
      <c r="E7" s="3" t="s">
        <v>550</v>
      </c>
      <c r="F7" s="51" t="s">
        <v>637</v>
      </c>
      <c r="G7" s="3" t="s">
        <v>552</v>
      </c>
      <c r="H7" s="3" t="s">
        <v>553</v>
      </c>
      <c r="I7" s="55"/>
      <c r="J7" s="113" t="s">
        <v>1298</v>
      </c>
      <c r="K7" s="113" t="s">
        <v>1299</v>
      </c>
      <c r="L7" s="113" t="s">
        <v>1303</v>
      </c>
      <c r="M7" s="113" t="s">
        <v>1305</v>
      </c>
    </row>
    <row r="8" spans="1:13">
      <c r="A8" s="58" t="s">
        <v>173</v>
      </c>
      <c r="B8" s="59" t="s">
        <v>174</v>
      </c>
      <c r="C8" s="59"/>
      <c r="D8" s="59" t="s">
        <v>367</v>
      </c>
      <c r="E8" s="48" t="s">
        <v>18</v>
      </c>
      <c r="F8" s="59" t="s">
        <v>7</v>
      </c>
      <c r="G8" s="59" t="s">
        <v>20</v>
      </c>
      <c r="H8" s="59" t="s">
        <v>18</v>
      </c>
      <c r="I8" s="55"/>
      <c r="J8" s="114" t="s">
        <v>1238</v>
      </c>
      <c r="K8" s="114" t="s">
        <v>1239</v>
      </c>
      <c r="L8" s="115">
        <v>7</v>
      </c>
      <c r="M8" s="115">
        <v>7</v>
      </c>
    </row>
    <row r="9" spans="1:13">
      <c r="A9" s="58" t="s">
        <v>40</v>
      </c>
      <c r="B9" s="59" t="s">
        <v>175</v>
      </c>
      <c r="C9" s="59"/>
      <c r="D9" s="59" t="s">
        <v>24</v>
      </c>
      <c r="E9" s="48" t="s">
        <v>18</v>
      </c>
      <c r="F9" s="59" t="s">
        <v>7</v>
      </c>
      <c r="G9" s="59" t="s">
        <v>20</v>
      </c>
      <c r="H9" s="59" t="s">
        <v>18</v>
      </c>
      <c r="I9" s="55"/>
      <c r="J9" s="114" t="s">
        <v>1240</v>
      </c>
      <c r="K9" s="114" t="s">
        <v>1241</v>
      </c>
      <c r="L9" s="115">
        <v>10</v>
      </c>
      <c r="M9" s="115" t="s">
        <v>1242</v>
      </c>
    </row>
    <row r="10" spans="1:13" ht="24">
      <c r="A10" s="58" t="s">
        <v>41</v>
      </c>
      <c r="B10" s="59" t="s">
        <v>176</v>
      </c>
      <c r="C10" s="59"/>
      <c r="D10" s="59" t="s">
        <v>641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642</v>
      </c>
      <c r="J10" s="114" t="s">
        <v>1243</v>
      </c>
      <c r="K10" s="114" t="s">
        <v>1300</v>
      </c>
      <c r="L10" s="115">
        <v>6</v>
      </c>
      <c r="M10" s="115">
        <v>6</v>
      </c>
    </row>
    <row r="11" spans="1:13">
      <c r="A11" s="58" t="s">
        <v>42</v>
      </c>
      <c r="B11" s="78" t="s">
        <v>177</v>
      </c>
      <c r="C11" s="78"/>
      <c r="D11" s="78" t="s">
        <v>364</v>
      </c>
      <c r="E11" s="101" t="s">
        <v>18</v>
      </c>
      <c r="F11" s="78" t="s">
        <v>7</v>
      </c>
      <c r="G11" s="78" t="s">
        <v>20</v>
      </c>
      <c r="H11" s="78" t="s">
        <v>18</v>
      </c>
      <c r="I11" s="99" t="s">
        <v>643</v>
      </c>
      <c r="J11" s="113" t="s">
        <v>1298</v>
      </c>
      <c r="K11" s="113" t="s">
        <v>1299</v>
      </c>
      <c r="L11" s="113" t="s">
        <v>1304</v>
      </c>
      <c r="M11" s="113" t="s">
        <v>1306</v>
      </c>
    </row>
    <row r="12" spans="1:13" ht="12" customHeight="1">
      <c r="A12" s="56" t="s">
        <v>1143</v>
      </c>
      <c r="B12" s="57" t="s">
        <v>178</v>
      </c>
      <c r="C12" s="57" t="s">
        <v>1321</v>
      </c>
      <c r="D12" s="57" t="s">
        <v>368</v>
      </c>
      <c r="E12" s="72" t="s">
        <v>18</v>
      </c>
      <c r="F12" s="57" t="s">
        <v>7</v>
      </c>
      <c r="G12" s="57" t="s">
        <v>20</v>
      </c>
      <c r="H12" s="57" t="s">
        <v>18</v>
      </c>
      <c r="I12" s="120" t="s">
        <v>655</v>
      </c>
      <c r="J12" s="116" t="s">
        <v>1244</v>
      </c>
      <c r="K12" s="116" t="s">
        <v>1245</v>
      </c>
      <c r="L12" s="117">
        <v>5</v>
      </c>
      <c r="M12" s="117">
        <v>5</v>
      </c>
    </row>
    <row r="13" spans="1:13" s="55" customFormat="1">
      <c r="A13" s="56"/>
      <c r="B13" s="57"/>
      <c r="C13" s="57" t="s">
        <v>1319</v>
      </c>
      <c r="D13" s="57" t="s">
        <v>653</v>
      </c>
      <c r="E13" s="72" t="s">
        <v>18</v>
      </c>
      <c r="F13" s="57" t="s">
        <v>7</v>
      </c>
      <c r="G13" s="57" t="s">
        <v>20</v>
      </c>
      <c r="H13" s="57" t="s">
        <v>18</v>
      </c>
      <c r="I13" s="121"/>
      <c r="J13" s="116" t="s">
        <v>1246</v>
      </c>
      <c r="K13" s="116" t="s">
        <v>1247</v>
      </c>
      <c r="L13" s="117">
        <v>5</v>
      </c>
      <c r="M13" s="117">
        <v>5</v>
      </c>
    </row>
    <row r="14" spans="1:13" s="55" customFormat="1">
      <c r="A14" s="56"/>
      <c r="B14" s="57"/>
      <c r="C14" s="57" t="s">
        <v>1320</v>
      </c>
      <c r="D14" s="57" t="s">
        <v>654</v>
      </c>
      <c r="E14" s="72" t="s">
        <v>18</v>
      </c>
      <c r="F14" s="57" t="s">
        <v>7</v>
      </c>
      <c r="G14" s="57" t="s">
        <v>20</v>
      </c>
      <c r="H14" s="57" t="s">
        <v>18</v>
      </c>
      <c r="I14" s="121"/>
      <c r="J14" s="116" t="s">
        <v>1248</v>
      </c>
      <c r="K14" s="116" t="s">
        <v>1249</v>
      </c>
      <c r="L14" s="117">
        <v>17</v>
      </c>
      <c r="M14" s="117">
        <v>11</v>
      </c>
    </row>
    <row r="15" spans="1:13" ht="24">
      <c r="A15" s="58" t="s">
        <v>43</v>
      </c>
      <c r="B15" s="67" t="s">
        <v>118</v>
      </c>
      <c r="C15" s="67"/>
      <c r="D15" s="67" t="s">
        <v>1162</v>
      </c>
      <c r="E15" s="68" t="s">
        <v>18</v>
      </c>
      <c r="F15" s="67" t="s">
        <v>7</v>
      </c>
      <c r="G15" s="67" t="s">
        <v>20</v>
      </c>
      <c r="H15" s="67" t="s">
        <v>18</v>
      </c>
      <c r="I15" s="40" t="s">
        <v>644</v>
      </c>
      <c r="J15" s="116" t="s">
        <v>1250</v>
      </c>
      <c r="K15" s="116" t="s">
        <v>1251</v>
      </c>
      <c r="L15" s="117">
        <v>3</v>
      </c>
      <c r="M15" s="117">
        <v>3</v>
      </c>
    </row>
    <row r="16" spans="1:13">
      <c r="A16" s="58" t="s">
        <v>179</v>
      </c>
      <c r="B16" s="59" t="s">
        <v>119</v>
      </c>
      <c r="C16" s="59"/>
      <c r="D16" s="59" t="s">
        <v>645</v>
      </c>
      <c r="E16" s="48" t="s">
        <v>18</v>
      </c>
      <c r="F16" s="59" t="s">
        <v>7</v>
      </c>
      <c r="G16" s="59" t="s">
        <v>20</v>
      </c>
      <c r="H16" s="59" t="s">
        <v>18</v>
      </c>
      <c r="I16" s="55" t="s">
        <v>648</v>
      </c>
      <c r="J16" s="116" t="s">
        <v>1252</v>
      </c>
      <c r="K16" s="116" t="s">
        <v>1253</v>
      </c>
      <c r="L16" s="117">
        <v>12</v>
      </c>
      <c r="M16" s="117" t="s">
        <v>1254</v>
      </c>
    </row>
    <row r="17" spans="1:13">
      <c r="A17" s="58" t="s">
        <v>44</v>
      </c>
      <c r="B17" s="59" t="s">
        <v>181</v>
      </c>
      <c r="C17" s="59"/>
      <c r="D17" s="64" t="s">
        <v>649</v>
      </c>
      <c r="E17" s="48" t="s">
        <v>18</v>
      </c>
      <c r="F17" s="59" t="s">
        <v>7</v>
      </c>
      <c r="G17" s="59" t="s">
        <v>20</v>
      </c>
      <c r="H17" s="59" t="s">
        <v>18</v>
      </c>
      <c r="I17" s="55" t="s">
        <v>1292</v>
      </c>
      <c r="J17" s="116" t="s">
        <v>1255</v>
      </c>
      <c r="K17" s="116" t="s">
        <v>1247</v>
      </c>
      <c r="L17" s="117">
        <v>5</v>
      </c>
      <c r="M17" s="117">
        <v>5</v>
      </c>
    </row>
    <row r="18" spans="1:13">
      <c r="A18" s="58" t="s">
        <v>45</v>
      </c>
      <c r="B18" s="59" t="s">
        <v>126</v>
      </c>
      <c r="C18" s="59"/>
      <c r="D18" s="64" t="s">
        <v>650</v>
      </c>
      <c r="E18" s="48" t="s">
        <v>18</v>
      </c>
      <c r="F18" s="59" t="s">
        <v>7</v>
      </c>
      <c r="G18" s="59" t="s">
        <v>20</v>
      </c>
      <c r="H18" s="59" t="s">
        <v>18</v>
      </c>
      <c r="I18" s="55" t="s">
        <v>1293</v>
      </c>
      <c r="J18" s="116" t="s">
        <v>1256</v>
      </c>
      <c r="K18" s="116" t="s">
        <v>1257</v>
      </c>
      <c r="L18" s="117">
        <v>100</v>
      </c>
      <c r="M18" s="117">
        <v>64</v>
      </c>
    </row>
    <row r="19" spans="1:13">
      <c r="A19" s="58" t="s">
        <v>46</v>
      </c>
      <c r="B19" s="59" t="s">
        <v>129</v>
      </c>
      <c r="C19" s="59"/>
      <c r="D19" s="64" t="s">
        <v>651</v>
      </c>
      <c r="E19" s="48" t="s">
        <v>18</v>
      </c>
      <c r="F19" s="59" t="s">
        <v>7</v>
      </c>
      <c r="G19" s="59" t="s">
        <v>20</v>
      </c>
      <c r="H19" s="59" t="s">
        <v>18</v>
      </c>
      <c r="I19" s="55" t="s">
        <v>1294</v>
      </c>
      <c r="J19" s="116" t="s">
        <v>1258</v>
      </c>
      <c r="K19" s="116" t="s">
        <v>1251</v>
      </c>
      <c r="L19" s="117">
        <v>3</v>
      </c>
      <c r="M19" s="117">
        <v>3</v>
      </c>
    </row>
    <row r="20" spans="1:13">
      <c r="A20" s="58" t="s">
        <v>47</v>
      </c>
      <c r="B20" s="59" t="s">
        <v>131</v>
      </c>
      <c r="C20" s="59"/>
      <c r="D20" s="64" t="s">
        <v>652</v>
      </c>
      <c r="E20" s="48" t="s">
        <v>18</v>
      </c>
      <c r="F20" s="59" t="s">
        <v>7</v>
      </c>
      <c r="G20" s="59" t="s">
        <v>20</v>
      </c>
      <c r="H20" s="59" t="s">
        <v>18</v>
      </c>
      <c r="I20" s="55" t="s">
        <v>1295</v>
      </c>
      <c r="J20" s="116" t="s">
        <v>1259</v>
      </c>
      <c r="K20" s="116" t="s">
        <v>1251</v>
      </c>
      <c r="L20" s="117">
        <v>3</v>
      </c>
      <c r="M20" s="117">
        <v>3</v>
      </c>
    </row>
    <row r="21" spans="1:13">
      <c r="A21" s="58" t="s">
        <v>48</v>
      </c>
      <c r="B21" s="59" t="s">
        <v>182</v>
      </c>
      <c r="C21" s="59"/>
      <c r="D21" s="64" t="s">
        <v>646</v>
      </c>
      <c r="E21" s="48" t="s">
        <v>18</v>
      </c>
      <c r="F21" s="59" t="s">
        <v>7</v>
      </c>
      <c r="G21" s="59" t="s">
        <v>20</v>
      </c>
      <c r="H21" s="59" t="s">
        <v>18</v>
      </c>
      <c r="I21" s="55" t="s">
        <v>1296</v>
      </c>
      <c r="J21" s="116" t="s">
        <v>1260</v>
      </c>
      <c r="K21" s="116" t="s">
        <v>1261</v>
      </c>
      <c r="L21" s="117">
        <v>2</v>
      </c>
      <c r="M21" s="117">
        <v>2</v>
      </c>
    </row>
    <row r="22" spans="1:13">
      <c r="A22" s="58" t="s">
        <v>49</v>
      </c>
      <c r="B22" s="59" t="s">
        <v>133</v>
      </c>
      <c r="C22" s="59"/>
      <c r="D22" s="64" t="s">
        <v>647</v>
      </c>
      <c r="E22" s="48" t="s">
        <v>18</v>
      </c>
      <c r="F22" s="59" t="s">
        <v>7</v>
      </c>
      <c r="G22" s="59" t="s">
        <v>20</v>
      </c>
      <c r="H22" s="59" t="s">
        <v>18</v>
      </c>
      <c r="I22" s="55" t="s">
        <v>1297</v>
      </c>
      <c r="J22" s="116" t="s">
        <v>1262</v>
      </c>
      <c r="K22" s="116" t="s">
        <v>1263</v>
      </c>
      <c r="L22" s="117">
        <v>6</v>
      </c>
      <c r="M22" s="117">
        <v>6</v>
      </c>
    </row>
    <row r="23" spans="1:13">
      <c r="A23" s="58" t="s">
        <v>50</v>
      </c>
      <c r="B23" s="59" t="s">
        <v>183</v>
      </c>
      <c r="C23" s="59"/>
      <c r="D23" s="59" t="s">
        <v>166</v>
      </c>
      <c r="E23" s="48" t="s">
        <v>18</v>
      </c>
      <c r="F23" s="59" t="s">
        <v>7</v>
      </c>
      <c r="G23" s="59" t="s">
        <v>20</v>
      </c>
      <c r="H23" s="59" t="s">
        <v>18</v>
      </c>
      <c r="I23" s="55" t="s">
        <v>184</v>
      </c>
      <c r="J23" s="116" t="s">
        <v>1264</v>
      </c>
      <c r="K23" s="116" t="s">
        <v>1265</v>
      </c>
      <c r="L23" s="117">
        <v>15</v>
      </c>
      <c r="M23" s="117" t="s">
        <v>1266</v>
      </c>
    </row>
    <row r="24" spans="1:13">
      <c r="A24" s="58" t="s">
        <v>51</v>
      </c>
      <c r="B24" s="59" t="s">
        <v>185</v>
      </c>
      <c r="C24" s="59"/>
      <c r="D24" s="59" t="s">
        <v>369</v>
      </c>
      <c r="E24" s="48" t="s">
        <v>18</v>
      </c>
      <c r="F24" s="59" t="s">
        <v>7</v>
      </c>
      <c r="G24" s="59" t="s">
        <v>20</v>
      </c>
      <c r="H24" s="59" t="s">
        <v>18</v>
      </c>
      <c r="I24" s="55" t="s">
        <v>186</v>
      </c>
      <c r="J24" s="116" t="s">
        <v>1267</v>
      </c>
      <c r="K24" s="116" t="s">
        <v>1268</v>
      </c>
      <c r="L24" s="117">
        <v>14</v>
      </c>
      <c r="M24" s="117" t="s">
        <v>1269</v>
      </c>
    </row>
    <row r="25" spans="1:13">
      <c r="A25" s="58" t="s">
        <v>52</v>
      </c>
      <c r="B25" s="59" t="s">
        <v>187</v>
      </c>
      <c r="C25" s="59"/>
      <c r="D25" s="59" t="s">
        <v>188</v>
      </c>
      <c r="E25" s="48" t="s">
        <v>18</v>
      </c>
      <c r="F25" s="59" t="s">
        <v>7</v>
      </c>
      <c r="G25" s="59" t="s">
        <v>20</v>
      </c>
      <c r="H25" s="59" t="s">
        <v>18</v>
      </c>
      <c r="I25" s="55" t="s">
        <v>189</v>
      </c>
      <c r="J25" s="116" t="s">
        <v>1270</v>
      </c>
      <c r="K25" s="116" t="s">
        <v>1271</v>
      </c>
      <c r="L25" s="117">
        <v>9</v>
      </c>
      <c r="M25" s="117">
        <v>9</v>
      </c>
    </row>
    <row r="26" spans="1:13">
      <c r="A26" s="58" t="s">
        <v>190</v>
      </c>
      <c r="B26" s="59" t="s">
        <v>191</v>
      </c>
      <c r="C26" s="59"/>
      <c r="D26" s="59" t="s">
        <v>192</v>
      </c>
      <c r="E26" s="48" t="s">
        <v>18</v>
      </c>
      <c r="F26" s="59" t="s">
        <v>7</v>
      </c>
      <c r="G26" s="59" t="s">
        <v>20</v>
      </c>
      <c r="H26" s="59" t="s">
        <v>18</v>
      </c>
      <c r="I26" s="55" t="s">
        <v>193</v>
      </c>
      <c r="J26" s="116" t="s">
        <v>1272</v>
      </c>
      <c r="K26" s="116" t="s">
        <v>1273</v>
      </c>
      <c r="L26" s="117">
        <v>2</v>
      </c>
      <c r="M26" s="117">
        <v>2</v>
      </c>
    </row>
    <row r="27" spans="1:13">
      <c r="J27" s="116" t="s">
        <v>1274</v>
      </c>
      <c r="K27" s="116" t="s">
        <v>1275</v>
      </c>
      <c r="L27" s="117">
        <v>2</v>
      </c>
      <c r="M27" s="117">
        <v>2</v>
      </c>
    </row>
    <row r="28" spans="1:13">
      <c r="J28" s="116" t="s">
        <v>1276</v>
      </c>
      <c r="K28" s="116" t="s">
        <v>1277</v>
      </c>
      <c r="L28" s="117">
        <v>256</v>
      </c>
      <c r="M28" s="117">
        <v>100</v>
      </c>
    </row>
    <row r="29" spans="1:13">
      <c r="J29" s="116" t="s">
        <v>1278</v>
      </c>
      <c r="K29" s="116" t="s">
        <v>1279</v>
      </c>
      <c r="L29" s="117">
        <v>64</v>
      </c>
      <c r="M29" s="117" t="s">
        <v>1301</v>
      </c>
    </row>
    <row r="30" spans="1:13">
      <c r="J30" s="116" t="s">
        <v>1280</v>
      </c>
      <c r="K30" s="116" t="s">
        <v>1281</v>
      </c>
      <c r="L30" s="117">
        <v>32</v>
      </c>
      <c r="M30" s="117">
        <v>20</v>
      </c>
    </row>
    <row r="31" spans="1:13">
      <c r="J31" s="116" t="s">
        <v>1282</v>
      </c>
      <c r="K31" s="116" t="s">
        <v>1283</v>
      </c>
      <c r="L31" s="117">
        <v>4</v>
      </c>
      <c r="M31" s="117">
        <v>4</v>
      </c>
    </row>
    <row r="32" spans="1:13">
      <c r="J32" s="116" t="s">
        <v>1284</v>
      </c>
      <c r="K32" s="116" t="s">
        <v>1285</v>
      </c>
      <c r="L32" s="117">
        <v>2</v>
      </c>
      <c r="M32" s="117">
        <v>2</v>
      </c>
    </row>
    <row r="33" spans="10:13">
      <c r="J33" s="116" t="s">
        <v>1286</v>
      </c>
      <c r="K33" s="116" t="s">
        <v>1287</v>
      </c>
      <c r="L33" s="117">
        <v>3</v>
      </c>
      <c r="M33" s="117">
        <v>3</v>
      </c>
    </row>
    <row r="34" spans="10:13">
      <c r="J34" s="116" t="s">
        <v>1288</v>
      </c>
      <c r="K34" s="116" t="s">
        <v>1289</v>
      </c>
      <c r="L34" s="117">
        <v>160</v>
      </c>
      <c r="M34" s="117" t="s">
        <v>1302</v>
      </c>
    </row>
    <row r="35" spans="10:13">
      <c r="J35" s="116" t="s">
        <v>1290</v>
      </c>
      <c r="K35" s="116" t="s">
        <v>1291</v>
      </c>
      <c r="L35" s="117">
        <v>5</v>
      </c>
      <c r="M35" s="117" t="str">
        <f t="shared" ref="M35" si="0">DEC2HEX(L35,4)</f>
        <v>0005</v>
      </c>
    </row>
  </sheetData>
  <mergeCells count="1">
    <mergeCell ref="I12:I14"/>
  </mergeCells>
  <phoneticPr fontId="14" type="noConversion"/>
  <dataValidations disablePrompts="1"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:F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tabColor rgb="FF92D050"/>
  </sheetPr>
  <dimension ref="A1:M82"/>
  <sheetViews>
    <sheetView topLeftCell="A13" zoomScaleNormal="100" workbookViewId="0">
      <selection activeCell="H28" sqref="H28"/>
    </sheetView>
  </sheetViews>
  <sheetFormatPr defaultColWidth="8.88671875" defaultRowHeight="12"/>
  <cols>
    <col min="1" max="1" width="12.21875" style="11" bestFit="1" customWidth="1"/>
    <col min="2" max="2" width="9.5546875" style="11" bestFit="1" customWidth="1"/>
    <col min="3" max="3" width="13.44140625" style="11" customWidth="1"/>
    <col min="4" max="4" width="5.88671875" style="11" bestFit="1" customWidth="1"/>
    <col min="5" max="5" width="9" style="11" bestFit="1" customWidth="1"/>
    <col min="6" max="6" width="8.44140625" style="11" customWidth="1"/>
    <col min="7" max="7" width="8.6640625" style="11" customWidth="1"/>
    <col min="8" max="8" width="26.6640625" style="11" bestFit="1" customWidth="1"/>
    <col min="9" max="9" width="8.88671875" style="11"/>
    <col min="10" max="10" width="17.77734375" style="11" customWidth="1"/>
    <col min="11" max="11" width="28.5546875" style="11" bestFit="1" customWidth="1"/>
    <col min="12" max="12" width="20.21875" style="11" bestFit="1" customWidth="1"/>
    <col min="13" max="13" width="15.88671875" style="11" bestFit="1" customWidth="1"/>
    <col min="14" max="16384" width="8.88671875" style="11"/>
  </cols>
  <sheetData>
    <row r="1" spans="1:13">
      <c r="A1" s="1" t="s">
        <v>537</v>
      </c>
      <c r="B1" s="53" t="s">
        <v>370</v>
      </c>
      <c r="C1" s="54" t="s">
        <v>656</v>
      </c>
      <c r="D1" s="55"/>
      <c r="E1" s="55"/>
      <c r="F1" s="55"/>
      <c r="G1" s="55"/>
      <c r="H1" s="55"/>
    </row>
    <row r="2" spans="1:13">
      <c r="A2" s="1" t="s">
        <v>540</v>
      </c>
      <c r="B2" s="53" t="s">
        <v>657</v>
      </c>
      <c r="C2" s="55"/>
      <c r="D2" s="55"/>
      <c r="E2" s="55"/>
      <c r="F2" s="55"/>
      <c r="G2" s="55"/>
      <c r="H2" s="55"/>
    </row>
    <row r="3" spans="1:13">
      <c r="A3" s="2" t="s">
        <v>542</v>
      </c>
      <c r="B3" s="12">
        <v>1</v>
      </c>
      <c r="C3" s="55"/>
      <c r="D3" s="55"/>
      <c r="E3" s="55"/>
      <c r="F3" s="55"/>
      <c r="G3" s="55"/>
      <c r="H3" s="55"/>
    </row>
    <row r="4" spans="1:13">
      <c r="A4" s="2" t="s">
        <v>8</v>
      </c>
      <c r="B4" s="12">
        <v>5</v>
      </c>
      <c r="C4" s="55"/>
      <c r="D4" s="55"/>
      <c r="E4" s="55"/>
      <c r="F4" s="55"/>
      <c r="G4" s="55"/>
      <c r="H4" s="55"/>
    </row>
    <row r="5" spans="1:13" ht="33.75">
      <c r="A5" s="4" t="s">
        <v>544</v>
      </c>
      <c r="B5" s="12" t="s">
        <v>15</v>
      </c>
      <c r="C5" s="55"/>
      <c r="D5" s="55"/>
      <c r="E5" s="55"/>
      <c r="F5" s="55"/>
      <c r="G5" s="55"/>
      <c r="H5" s="55"/>
    </row>
    <row r="6" spans="1:13" ht="33.75">
      <c r="A6" s="4" t="s">
        <v>545</v>
      </c>
      <c r="B6" s="12" t="s">
        <v>15</v>
      </c>
      <c r="C6" s="55"/>
      <c r="D6" s="55"/>
      <c r="E6" s="55"/>
      <c r="F6" s="55"/>
      <c r="G6" s="55"/>
      <c r="H6" s="55"/>
    </row>
    <row r="7" spans="1:13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637</v>
      </c>
      <c r="F7" s="3" t="s">
        <v>552</v>
      </c>
      <c r="G7" s="3" t="s">
        <v>553</v>
      </c>
      <c r="H7" s="55"/>
      <c r="J7" s="113" t="s">
        <v>1298</v>
      </c>
      <c r="K7" s="113" t="s">
        <v>1299</v>
      </c>
      <c r="L7" s="113" t="s">
        <v>1303</v>
      </c>
      <c r="M7" s="113" t="s">
        <v>1305</v>
      </c>
    </row>
    <row r="8" spans="1:13">
      <c r="A8" s="58" t="s">
        <v>53</v>
      </c>
      <c r="B8" s="59" t="s">
        <v>180</v>
      </c>
      <c r="C8" s="59" t="s">
        <v>194</v>
      </c>
      <c r="D8" s="48" t="s">
        <v>28</v>
      </c>
      <c r="E8" s="59" t="s">
        <v>7</v>
      </c>
      <c r="F8" s="59" t="s">
        <v>17</v>
      </c>
      <c r="G8" s="59" t="s">
        <v>18</v>
      </c>
      <c r="H8" s="55" t="s">
        <v>195</v>
      </c>
      <c r="J8" s="114" t="s">
        <v>1238</v>
      </c>
      <c r="K8" s="114" t="s">
        <v>1239</v>
      </c>
      <c r="L8" s="115">
        <v>7</v>
      </c>
      <c r="M8" s="115">
        <v>7</v>
      </c>
    </row>
    <row r="9" spans="1:13">
      <c r="A9" s="58" t="s">
        <v>53</v>
      </c>
      <c r="B9" s="59" t="s">
        <v>180</v>
      </c>
      <c r="C9" s="59" t="s">
        <v>24</v>
      </c>
      <c r="D9" s="48" t="s">
        <v>28</v>
      </c>
      <c r="E9" s="59" t="s">
        <v>7</v>
      </c>
      <c r="F9" s="59" t="s">
        <v>17</v>
      </c>
      <c r="G9" s="59" t="s">
        <v>18</v>
      </c>
      <c r="H9" s="55" t="s">
        <v>196</v>
      </c>
      <c r="J9" s="114" t="s">
        <v>1240</v>
      </c>
      <c r="K9" s="114" t="s">
        <v>1241</v>
      </c>
      <c r="L9" s="115">
        <v>10</v>
      </c>
      <c r="M9" s="115" t="s">
        <v>1242</v>
      </c>
    </row>
    <row r="10" spans="1:13">
      <c r="A10" s="58" t="s">
        <v>54</v>
      </c>
      <c r="B10" s="59" t="s">
        <v>197</v>
      </c>
      <c r="C10" s="59" t="s">
        <v>198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199</v>
      </c>
      <c r="J10" s="114"/>
      <c r="K10" s="114"/>
      <c r="L10" s="115"/>
      <c r="M10" s="115"/>
    </row>
    <row r="11" spans="1:13">
      <c r="A11" s="58" t="s">
        <v>55</v>
      </c>
      <c r="B11" s="59" t="s">
        <v>85</v>
      </c>
      <c r="C11" s="59" t="s">
        <v>200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201</v>
      </c>
      <c r="J11" s="113"/>
      <c r="K11" s="113"/>
      <c r="L11" s="113"/>
      <c r="M11" s="113"/>
    </row>
    <row r="12" spans="1:13">
      <c r="A12" s="58" t="s">
        <v>56</v>
      </c>
      <c r="B12" s="59" t="s">
        <v>202</v>
      </c>
      <c r="C12" s="59" t="s">
        <v>203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204</v>
      </c>
      <c r="J12" s="116" t="s">
        <v>1244</v>
      </c>
      <c r="K12" s="116" t="s">
        <v>1245</v>
      </c>
      <c r="L12" s="117">
        <v>10</v>
      </c>
      <c r="M12" s="117" t="str">
        <f>DEC2HEX(L12,4)</f>
        <v>000A</v>
      </c>
    </row>
    <row r="13" spans="1:13">
      <c r="A13" s="58" t="s">
        <v>57</v>
      </c>
      <c r="B13" s="59" t="s">
        <v>191</v>
      </c>
      <c r="C13" s="59" t="s">
        <v>205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206</v>
      </c>
      <c r="J13" s="116" t="s">
        <v>1246</v>
      </c>
      <c r="K13" s="116" t="s">
        <v>1247</v>
      </c>
      <c r="L13" s="117">
        <v>10</v>
      </c>
      <c r="M13" s="117" t="str">
        <f t="shared" ref="M13:M35" si="0">DEC2HEX(L13,4)</f>
        <v>000A</v>
      </c>
    </row>
    <row r="14" spans="1:13">
      <c r="A14" s="58" t="s">
        <v>207</v>
      </c>
      <c r="B14" s="59" t="s">
        <v>181</v>
      </c>
      <c r="C14" s="59" t="s">
        <v>24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208</v>
      </c>
      <c r="J14" s="116" t="s">
        <v>1248</v>
      </c>
      <c r="K14" s="116" t="s">
        <v>1249</v>
      </c>
      <c r="L14" s="117">
        <v>34</v>
      </c>
      <c r="M14" s="117" t="str">
        <f t="shared" si="0"/>
        <v>0022</v>
      </c>
    </row>
    <row r="15" spans="1:13">
      <c r="A15" s="58" t="s">
        <v>209</v>
      </c>
      <c r="B15" s="59" t="s">
        <v>151</v>
      </c>
      <c r="C15" s="59" t="s">
        <v>166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371</v>
      </c>
      <c r="J15" s="116" t="s">
        <v>1250</v>
      </c>
      <c r="K15" s="116" t="s">
        <v>1251</v>
      </c>
      <c r="L15" s="117">
        <v>6</v>
      </c>
      <c r="M15" s="117" t="str">
        <f t="shared" si="0"/>
        <v>0006</v>
      </c>
    </row>
    <row r="16" spans="1:13">
      <c r="A16" s="58" t="s">
        <v>210</v>
      </c>
      <c r="B16" s="59" t="s">
        <v>135</v>
      </c>
      <c r="C16" s="59" t="s">
        <v>211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372</v>
      </c>
      <c r="J16" s="116" t="s">
        <v>1252</v>
      </c>
      <c r="K16" s="116" t="s">
        <v>1253</v>
      </c>
      <c r="L16" s="117">
        <v>24</v>
      </c>
      <c r="M16" s="117" t="str">
        <f t="shared" si="0"/>
        <v>0018</v>
      </c>
    </row>
    <row r="17" spans="1:13">
      <c r="A17" s="58" t="s">
        <v>58</v>
      </c>
      <c r="B17" s="59" t="s">
        <v>212</v>
      </c>
      <c r="C17" s="57" t="s">
        <v>87</v>
      </c>
      <c r="D17" s="48" t="s">
        <v>18</v>
      </c>
      <c r="E17" s="59" t="s">
        <v>7</v>
      </c>
      <c r="F17" s="59" t="s">
        <v>20</v>
      </c>
      <c r="G17" s="59" t="s">
        <v>18</v>
      </c>
      <c r="H17" s="44" t="s">
        <v>373</v>
      </c>
      <c r="J17" s="116" t="s">
        <v>1255</v>
      </c>
      <c r="K17" s="116" t="s">
        <v>1247</v>
      </c>
      <c r="L17" s="117">
        <v>10</v>
      </c>
      <c r="M17" s="117" t="str">
        <f t="shared" si="0"/>
        <v>000A</v>
      </c>
    </row>
    <row r="18" spans="1:13">
      <c r="A18" s="58" t="s">
        <v>59</v>
      </c>
      <c r="B18" s="59" t="s">
        <v>213</v>
      </c>
      <c r="C18" s="57" t="s">
        <v>156</v>
      </c>
      <c r="D18" s="48" t="s">
        <v>18</v>
      </c>
      <c r="E18" s="59" t="s">
        <v>7</v>
      </c>
      <c r="F18" s="59" t="s">
        <v>17</v>
      </c>
      <c r="G18" s="59" t="s">
        <v>18</v>
      </c>
      <c r="H18" s="44" t="s">
        <v>374</v>
      </c>
      <c r="J18" s="116" t="s">
        <v>1256</v>
      </c>
      <c r="K18" s="116" t="s">
        <v>1307</v>
      </c>
      <c r="L18" s="117">
        <v>200</v>
      </c>
      <c r="M18" s="117" t="str">
        <f t="shared" si="0"/>
        <v>00C8</v>
      </c>
    </row>
    <row r="19" spans="1:13">
      <c r="A19" s="58" t="s">
        <v>60</v>
      </c>
      <c r="B19" s="59" t="s">
        <v>214</v>
      </c>
      <c r="C19" s="57" t="s">
        <v>1163</v>
      </c>
      <c r="D19" s="48" t="s">
        <v>18</v>
      </c>
      <c r="E19" s="59" t="s">
        <v>7</v>
      </c>
      <c r="F19" s="59" t="s">
        <v>20</v>
      </c>
      <c r="G19" s="59" t="s">
        <v>18</v>
      </c>
      <c r="H19" s="55" t="str">
        <f>"tmr0=0x"&amp;DEC2HEX(L14*POWER(2,26)+L15*POWER(2,22)+L16*POWER(2,16)+L12*POWER(2,12)+(L13/2)*POWER(2,8)+L19*POWER(2,4)+L20,8)</f>
        <v>tmr0=0x8998A566</v>
      </c>
      <c r="J19" s="116" t="s">
        <v>1258</v>
      </c>
      <c r="K19" s="116" t="s">
        <v>1251</v>
      </c>
      <c r="L19" s="117">
        <v>6</v>
      </c>
      <c r="M19" s="117" t="str">
        <f t="shared" si="0"/>
        <v>0006</v>
      </c>
    </row>
    <row r="20" spans="1:13">
      <c r="A20" s="58" t="s">
        <v>61</v>
      </c>
      <c r="B20" s="59" t="s">
        <v>215</v>
      </c>
      <c r="C20" s="57" t="s">
        <v>692</v>
      </c>
      <c r="D20" s="48" t="s">
        <v>18</v>
      </c>
      <c r="E20" s="59" t="s">
        <v>7</v>
      </c>
      <c r="F20" s="59" t="s">
        <v>20</v>
      </c>
      <c r="G20" s="59" t="s">
        <v>18</v>
      </c>
      <c r="H20" s="55" t="str">
        <f>"tmr1=0x"&amp;DEC2HEX(L33*POWER(2,25)+L18*POWER(2,16)+L23*POWER(2,9)+L22*POWER(2,4)+0,8)</f>
        <v>tmr1=0x0CC83CC0</v>
      </c>
      <c r="J20" s="116" t="s">
        <v>1259</v>
      </c>
      <c r="K20" s="116" t="s">
        <v>1251</v>
      </c>
      <c r="L20" s="117">
        <v>6</v>
      </c>
      <c r="M20" s="117" t="str">
        <f t="shared" si="0"/>
        <v>0006</v>
      </c>
    </row>
    <row r="21" spans="1:13">
      <c r="A21" s="58" t="s">
        <v>62</v>
      </c>
      <c r="B21" s="59" t="s">
        <v>216</v>
      </c>
      <c r="C21" s="57" t="s">
        <v>1164</v>
      </c>
      <c r="D21" s="48" t="s">
        <v>18</v>
      </c>
      <c r="E21" s="59" t="s">
        <v>7</v>
      </c>
      <c r="F21" s="59" t="s">
        <v>20</v>
      </c>
      <c r="G21" s="59" t="s">
        <v>18</v>
      </c>
      <c r="H21" s="55" t="str">
        <f>"tmr2=0x"&amp;DEC2HEX(L29*POWER(2,20)+L27*POWER(2,16)+L26*POWER(2,10)+0,8)</f>
        <v>tmr2=0x20021000</v>
      </c>
      <c r="J21" s="116" t="s">
        <v>1260</v>
      </c>
      <c r="K21" s="116" t="s">
        <v>1261</v>
      </c>
      <c r="L21" s="117">
        <v>4</v>
      </c>
      <c r="M21" s="117" t="str">
        <f t="shared" si="0"/>
        <v>0004</v>
      </c>
    </row>
    <row r="22" spans="1:13">
      <c r="A22" s="58" t="s">
        <v>63</v>
      </c>
      <c r="B22" s="59" t="s">
        <v>217</v>
      </c>
      <c r="C22" s="57" t="s">
        <v>1165</v>
      </c>
      <c r="D22" s="48" t="s">
        <v>18</v>
      </c>
      <c r="E22" s="59" t="s">
        <v>7</v>
      </c>
      <c r="F22" s="59" t="s">
        <v>20</v>
      </c>
      <c r="G22" s="59" t="s">
        <v>18</v>
      </c>
      <c r="H22" s="55" t="str">
        <f>"tmr3=0x"&amp;DEC2HEX(L17*POWER(2,28)+L8*POWER(2,24)+0*POWER(2,10)+(L34/2),8)</f>
        <v>tmr3=0xA7000100</v>
      </c>
      <c r="J22" s="116" t="s">
        <v>1262</v>
      </c>
      <c r="K22" s="116" t="s">
        <v>1263</v>
      </c>
      <c r="L22" s="117">
        <v>12</v>
      </c>
      <c r="M22" s="117" t="str">
        <f t="shared" si="0"/>
        <v>000C</v>
      </c>
    </row>
    <row r="23" spans="1:13">
      <c r="A23" s="58" t="s">
        <v>64</v>
      </c>
      <c r="B23" s="59" t="s">
        <v>176</v>
      </c>
      <c r="C23" s="57" t="s">
        <v>1166</v>
      </c>
      <c r="D23" s="48" t="s">
        <v>18</v>
      </c>
      <c r="E23" s="59" t="s">
        <v>7</v>
      </c>
      <c r="F23" s="59" t="s">
        <v>20</v>
      </c>
      <c r="G23" s="59" t="s">
        <v>18</v>
      </c>
      <c r="H23" s="55" t="str">
        <f>"tmr4=0x"&amp;DEC2HEX((L8-2)*POWER(2,12)+L35*POWER(2,7)+L24,8)</f>
        <v>tmr4=0x0000551C</v>
      </c>
      <c r="J23" s="116" t="s">
        <v>1264</v>
      </c>
      <c r="K23" s="116" t="s">
        <v>1265</v>
      </c>
      <c r="L23" s="117">
        <v>30</v>
      </c>
      <c r="M23" s="117" t="str">
        <f t="shared" si="0"/>
        <v>001E</v>
      </c>
    </row>
    <row r="24" spans="1:13">
      <c r="A24" s="58" t="s">
        <v>65</v>
      </c>
      <c r="B24" s="59" t="s">
        <v>218</v>
      </c>
      <c r="C24" s="57" t="s">
        <v>1167</v>
      </c>
      <c r="D24" s="48" t="s">
        <v>18</v>
      </c>
      <c r="E24" s="59" t="s">
        <v>7</v>
      </c>
      <c r="F24" s="59" t="s">
        <v>20</v>
      </c>
      <c r="G24" s="59" t="s">
        <v>18</v>
      </c>
      <c r="H24" s="55" t="s">
        <v>693</v>
      </c>
      <c r="J24" s="116" t="s">
        <v>1267</v>
      </c>
      <c r="K24" s="116" t="s">
        <v>1268</v>
      </c>
      <c r="L24" s="117">
        <v>28</v>
      </c>
      <c r="M24" s="117" t="str">
        <f t="shared" si="0"/>
        <v>001C</v>
      </c>
    </row>
    <row r="25" spans="1:13">
      <c r="A25" s="58" t="s">
        <v>219</v>
      </c>
      <c r="B25" s="59" t="s">
        <v>220</v>
      </c>
      <c r="C25" s="57" t="s">
        <v>1168</v>
      </c>
      <c r="D25" s="48" t="s">
        <v>18</v>
      </c>
      <c r="E25" s="59" t="s">
        <v>7</v>
      </c>
      <c r="F25" s="59" t="s">
        <v>20</v>
      </c>
      <c r="G25" s="59" t="s">
        <v>18</v>
      </c>
      <c r="H25" s="55" t="s">
        <v>694</v>
      </c>
      <c r="J25" s="116" t="s">
        <v>1270</v>
      </c>
      <c r="K25" s="116" t="s">
        <v>1271</v>
      </c>
      <c r="L25" s="117">
        <v>18</v>
      </c>
      <c r="M25" s="117" t="str">
        <f t="shared" si="0"/>
        <v>0012</v>
      </c>
    </row>
    <row r="26" spans="1:13">
      <c r="A26" s="58" t="s">
        <v>221</v>
      </c>
      <c r="B26" s="59" t="s">
        <v>129</v>
      </c>
      <c r="C26" s="57" t="s">
        <v>1169</v>
      </c>
      <c r="D26" s="48" t="s">
        <v>18</v>
      </c>
      <c r="E26" s="59" t="s">
        <v>7</v>
      </c>
      <c r="F26" s="59" t="s">
        <v>20</v>
      </c>
      <c r="G26" s="59" t="s">
        <v>18</v>
      </c>
      <c r="H26" s="55" t="s">
        <v>222</v>
      </c>
      <c r="J26" s="116" t="s">
        <v>1272</v>
      </c>
      <c r="K26" s="116" t="s">
        <v>1273</v>
      </c>
      <c r="L26" s="117">
        <v>4</v>
      </c>
      <c r="M26" s="117" t="str">
        <f t="shared" si="0"/>
        <v>0004</v>
      </c>
    </row>
    <row r="27" spans="1:13">
      <c r="A27" s="58" t="s">
        <v>223</v>
      </c>
      <c r="B27" s="59" t="s">
        <v>224</v>
      </c>
      <c r="C27" s="59" t="s">
        <v>166</v>
      </c>
      <c r="D27" s="48" t="s">
        <v>18</v>
      </c>
      <c r="E27" s="59" t="s">
        <v>7</v>
      </c>
      <c r="F27" s="59" t="s">
        <v>20</v>
      </c>
      <c r="G27" s="59" t="s">
        <v>18</v>
      </c>
      <c r="H27" s="55" t="s">
        <v>225</v>
      </c>
      <c r="J27" s="116" t="s">
        <v>1274</v>
      </c>
      <c r="K27" s="116" t="s">
        <v>1275</v>
      </c>
      <c r="L27" s="117">
        <v>2</v>
      </c>
      <c r="M27" s="117" t="str">
        <f t="shared" si="0"/>
        <v>0002</v>
      </c>
    </row>
    <row r="28" spans="1:13">
      <c r="A28" s="58" t="s">
        <v>66</v>
      </c>
      <c r="B28" s="59" t="s">
        <v>118</v>
      </c>
      <c r="C28" s="57" t="s">
        <v>1170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tr">
        <f>"MISC=0x"&amp;DEC2HEX(K39*POWER(2,27)+K38*POWER(2,25)+K40*POWER(2,23)+K37*POWER(2,21)+K36*POWER(2,18)+K41*POWER(2,16)+(L9-2)*POWER(2,7)+(L8-1),8)</f>
        <v>MISC=0x00000406</v>
      </c>
      <c r="J28" s="116" t="s">
        <v>1276</v>
      </c>
      <c r="K28" s="116" t="s">
        <v>1308</v>
      </c>
      <c r="L28" s="117">
        <v>512</v>
      </c>
      <c r="M28" s="117" t="str">
        <f t="shared" si="0"/>
        <v>0200</v>
      </c>
    </row>
    <row r="29" spans="1:13">
      <c r="A29" s="58" t="s">
        <v>226</v>
      </c>
      <c r="B29" s="59" t="s">
        <v>131</v>
      </c>
      <c r="C29" s="57" t="s">
        <v>375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227</v>
      </c>
      <c r="J29" s="116" t="s">
        <v>1278</v>
      </c>
      <c r="K29" s="116" t="s">
        <v>1309</v>
      </c>
      <c r="L29" s="117">
        <v>512</v>
      </c>
      <c r="M29" s="117" t="str">
        <f t="shared" si="0"/>
        <v>0200</v>
      </c>
    </row>
    <row r="30" spans="1:13" ht="15.75">
      <c r="A30" s="58" t="s">
        <v>228</v>
      </c>
      <c r="B30" s="59" t="s">
        <v>229</v>
      </c>
      <c r="C30" s="59" t="s">
        <v>230</v>
      </c>
      <c r="D30" s="48" t="s">
        <v>18</v>
      </c>
      <c r="E30" s="59" t="s">
        <v>7</v>
      </c>
      <c r="F30" s="59" t="s">
        <v>17</v>
      </c>
      <c r="G30" s="59" t="s">
        <v>18</v>
      </c>
      <c r="H30" s="49"/>
      <c r="J30" s="116" t="s">
        <v>1280</v>
      </c>
      <c r="K30" s="116" t="s">
        <v>1310</v>
      </c>
      <c r="L30" s="117">
        <v>64</v>
      </c>
      <c r="M30" s="117" t="str">
        <f t="shared" si="0"/>
        <v>0040</v>
      </c>
    </row>
    <row r="31" spans="1:13" ht="15.75">
      <c r="A31" s="58" t="s">
        <v>157</v>
      </c>
      <c r="B31" s="59" t="s">
        <v>231</v>
      </c>
      <c r="C31" s="59" t="s">
        <v>232</v>
      </c>
      <c r="D31" s="48" t="s">
        <v>18</v>
      </c>
      <c r="E31" s="59" t="s">
        <v>7</v>
      </c>
      <c r="F31" s="59" t="s">
        <v>17</v>
      </c>
      <c r="G31" s="59" t="s">
        <v>18</v>
      </c>
      <c r="H31" s="49"/>
      <c r="J31" s="116" t="s">
        <v>1282</v>
      </c>
      <c r="K31" s="116" t="s">
        <v>1311</v>
      </c>
      <c r="L31" s="117">
        <v>8</v>
      </c>
      <c r="M31" s="117" t="str">
        <f t="shared" si="0"/>
        <v>0008</v>
      </c>
    </row>
    <row r="32" spans="1:13">
      <c r="A32" s="58" t="s">
        <v>67</v>
      </c>
      <c r="B32" s="59" t="s">
        <v>233</v>
      </c>
      <c r="C32" s="59" t="s">
        <v>24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234</v>
      </c>
      <c r="J32" s="116" t="s">
        <v>1284</v>
      </c>
      <c r="K32" s="116" t="s">
        <v>1261</v>
      </c>
      <c r="L32" s="117">
        <v>4</v>
      </c>
      <c r="M32" s="117" t="str">
        <f t="shared" si="0"/>
        <v>0004</v>
      </c>
    </row>
    <row r="33" spans="1:13">
      <c r="A33" s="58" t="s">
        <v>235</v>
      </c>
      <c r="B33" s="59" t="s">
        <v>236</v>
      </c>
      <c r="C33" s="57" t="s">
        <v>1171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658</v>
      </c>
      <c r="J33" s="116" t="s">
        <v>1286</v>
      </c>
      <c r="K33" s="116" t="s">
        <v>1312</v>
      </c>
      <c r="L33" s="117">
        <v>6</v>
      </c>
      <c r="M33" s="117" t="str">
        <f t="shared" si="0"/>
        <v>0006</v>
      </c>
    </row>
    <row r="34" spans="1:13">
      <c r="A34" s="58" t="s">
        <v>237</v>
      </c>
      <c r="B34" s="59" t="s">
        <v>238</v>
      </c>
      <c r="C34" s="59" t="s">
        <v>24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239</v>
      </c>
      <c r="J34" s="116" t="s">
        <v>1313</v>
      </c>
      <c r="K34" s="116" t="s">
        <v>1314</v>
      </c>
      <c r="L34" s="117">
        <v>512</v>
      </c>
      <c r="M34" s="117" t="str">
        <f t="shared" si="0"/>
        <v>0200</v>
      </c>
    </row>
    <row r="35" spans="1:13">
      <c r="A35" s="45" t="s">
        <v>240</v>
      </c>
      <c r="B35" s="46" t="s">
        <v>241</v>
      </c>
      <c r="C35" s="46" t="s">
        <v>24</v>
      </c>
      <c r="D35" s="47" t="s">
        <v>18</v>
      </c>
      <c r="E35" s="46" t="s">
        <v>7</v>
      </c>
      <c r="F35" s="46" t="s">
        <v>17</v>
      </c>
      <c r="G35" s="46" t="s">
        <v>18</v>
      </c>
      <c r="H35" s="41" t="s">
        <v>242</v>
      </c>
      <c r="J35" s="116" t="s">
        <v>1290</v>
      </c>
      <c r="K35" s="116" t="s">
        <v>1291</v>
      </c>
      <c r="L35" s="117">
        <v>10</v>
      </c>
      <c r="M35" s="117" t="str">
        <f t="shared" si="0"/>
        <v>000A</v>
      </c>
    </row>
    <row r="36" spans="1:13">
      <c r="A36" s="45" t="s">
        <v>68</v>
      </c>
      <c r="B36" s="46" t="s">
        <v>243</v>
      </c>
      <c r="C36" s="46" t="s">
        <v>24</v>
      </c>
      <c r="D36" s="47" t="s">
        <v>18</v>
      </c>
      <c r="E36" s="46" t="s">
        <v>7</v>
      </c>
      <c r="F36" s="46" t="s">
        <v>17</v>
      </c>
      <c r="G36" s="46" t="s">
        <v>18</v>
      </c>
      <c r="H36" s="41" t="s">
        <v>69</v>
      </c>
    </row>
    <row r="37" spans="1:13">
      <c r="A37" s="58" t="s">
        <v>244</v>
      </c>
      <c r="B37" s="59" t="s">
        <v>245</v>
      </c>
      <c r="C37" s="59" t="s">
        <v>87</v>
      </c>
      <c r="D37" s="48" t="s">
        <v>18</v>
      </c>
      <c r="E37" s="59" t="s">
        <v>7</v>
      </c>
      <c r="F37" s="59" t="s">
        <v>17</v>
      </c>
      <c r="G37" s="59" t="s">
        <v>18</v>
      </c>
      <c r="H37" s="55" t="s">
        <v>246</v>
      </c>
    </row>
    <row r="38" spans="1:13">
      <c r="A38" s="58" t="s">
        <v>70</v>
      </c>
      <c r="B38" s="59" t="s">
        <v>247</v>
      </c>
      <c r="C38" s="59" t="s">
        <v>87</v>
      </c>
      <c r="D38" s="48" t="s">
        <v>18</v>
      </c>
      <c r="E38" s="59" t="s">
        <v>7</v>
      </c>
      <c r="F38" s="59" t="s">
        <v>17</v>
      </c>
      <c r="G38" s="59" t="s">
        <v>18</v>
      </c>
      <c r="H38" s="55" t="s">
        <v>71</v>
      </c>
    </row>
    <row r="39" spans="1:13">
      <c r="A39" s="58" t="s">
        <v>248</v>
      </c>
      <c r="B39" s="59" t="s">
        <v>162</v>
      </c>
      <c r="C39" s="59" t="s">
        <v>249</v>
      </c>
      <c r="D39" s="48" t="s">
        <v>18</v>
      </c>
      <c r="E39" s="59" t="s">
        <v>7</v>
      </c>
      <c r="F39" s="59" t="s">
        <v>250</v>
      </c>
      <c r="G39" s="59" t="s">
        <v>18</v>
      </c>
      <c r="H39" s="55" t="s">
        <v>251</v>
      </c>
    </row>
    <row r="40" spans="1:13">
      <c r="A40" s="58" t="s">
        <v>252</v>
      </c>
      <c r="B40" s="59" t="s">
        <v>134</v>
      </c>
      <c r="C40" s="59" t="s">
        <v>249</v>
      </c>
      <c r="D40" s="48" t="s">
        <v>18</v>
      </c>
      <c r="E40" s="59" t="s">
        <v>7</v>
      </c>
      <c r="F40" s="59" t="s">
        <v>250</v>
      </c>
      <c r="G40" s="59" t="s">
        <v>18</v>
      </c>
      <c r="H40" s="55" t="s">
        <v>253</v>
      </c>
    </row>
    <row r="41" spans="1:13">
      <c r="A41" s="58" t="s">
        <v>254</v>
      </c>
      <c r="B41" s="59" t="s">
        <v>182</v>
      </c>
      <c r="C41" s="59" t="s">
        <v>255</v>
      </c>
      <c r="D41" s="48" t="s">
        <v>28</v>
      </c>
      <c r="E41" s="59" t="s">
        <v>7</v>
      </c>
      <c r="F41" s="59" t="s">
        <v>17</v>
      </c>
      <c r="G41" s="59" t="s">
        <v>18</v>
      </c>
      <c r="H41" s="55" t="s">
        <v>256</v>
      </c>
    </row>
    <row r="42" spans="1:13">
      <c r="A42" s="58" t="s">
        <v>254</v>
      </c>
      <c r="B42" s="59" t="s">
        <v>182</v>
      </c>
      <c r="C42" s="59" t="s">
        <v>257</v>
      </c>
      <c r="D42" s="48" t="s">
        <v>18</v>
      </c>
      <c r="E42" s="59" t="s">
        <v>7</v>
      </c>
      <c r="F42" s="59" t="s">
        <v>17</v>
      </c>
      <c r="G42" s="59" t="s">
        <v>18</v>
      </c>
      <c r="H42" s="55" t="s">
        <v>258</v>
      </c>
    </row>
    <row r="43" spans="1:13">
      <c r="A43" s="58" t="s">
        <v>259</v>
      </c>
      <c r="B43" s="59" t="s">
        <v>260</v>
      </c>
      <c r="C43" s="59" t="s">
        <v>121</v>
      </c>
      <c r="D43" s="48" t="s">
        <v>28</v>
      </c>
      <c r="E43" s="59" t="s">
        <v>7</v>
      </c>
      <c r="F43" s="59" t="s">
        <v>17</v>
      </c>
      <c r="G43" s="59" t="s">
        <v>18</v>
      </c>
      <c r="H43" s="55" t="s">
        <v>256</v>
      </c>
    </row>
    <row r="44" spans="1:13">
      <c r="A44" s="58" t="s">
        <v>259</v>
      </c>
      <c r="B44" s="59" t="s">
        <v>260</v>
      </c>
      <c r="C44" s="59" t="s">
        <v>118</v>
      </c>
      <c r="D44" s="48" t="s">
        <v>18</v>
      </c>
      <c r="E44" s="59" t="s">
        <v>7</v>
      </c>
      <c r="F44" s="59" t="s">
        <v>17</v>
      </c>
      <c r="G44" s="59" t="s">
        <v>18</v>
      </c>
      <c r="H44" s="55" t="s">
        <v>258</v>
      </c>
    </row>
    <row r="45" spans="1:13">
      <c r="A45" s="58" t="s">
        <v>261</v>
      </c>
      <c r="B45" s="59" t="s">
        <v>150</v>
      </c>
      <c r="C45" s="57" t="s">
        <v>1172</v>
      </c>
      <c r="D45" s="48" t="s">
        <v>18</v>
      </c>
      <c r="E45" s="59" t="s">
        <v>7</v>
      </c>
      <c r="F45" s="59" t="s">
        <v>20</v>
      </c>
      <c r="G45" s="59" t="s">
        <v>18</v>
      </c>
      <c r="H45" s="55" t="s">
        <v>659</v>
      </c>
    </row>
    <row r="46" spans="1:13">
      <c r="A46" s="58" t="s">
        <v>72</v>
      </c>
      <c r="B46" s="59" t="s">
        <v>262</v>
      </c>
      <c r="C46" s="59" t="s">
        <v>1173</v>
      </c>
      <c r="D46" s="48" t="s">
        <v>18</v>
      </c>
      <c r="E46" s="59" t="s">
        <v>7</v>
      </c>
      <c r="F46" s="59" t="s">
        <v>20</v>
      </c>
      <c r="G46" s="59" t="s">
        <v>18</v>
      </c>
      <c r="H46" s="55" t="s">
        <v>661</v>
      </c>
    </row>
    <row r="47" spans="1:13">
      <c r="A47" s="58" t="s">
        <v>73</v>
      </c>
      <c r="B47" s="59" t="s">
        <v>263</v>
      </c>
      <c r="C47" s="57" t="s">
        <v>662</v>
      </c>
      <c r="D47" s="48" t="s">
        <v>18</v>
      </c>
      <c r="E47" s="59" t="s">
        <v>7</v>
      </c>
      <c r="F47" s="59" t="s">
        <v>20</v>
      </c>
      <c r="G47" s="59" t="s">
        <v>18</v>
      </c>
      <c r="H47" s="55" t="s">
        <v>663</v>
      </c>
    </row>
    <row r="48" spans="1:13">
      <c r="A48" s="58" t="s">
        <v>74</v>
      </c>
      <c r="B48" s="59" t="s">
        <v>265</v>
      </c>
      <c r="C48" s="57" t="s">
        <v>664</v>
      </c>
      <c r="D48" s="48" t="s">
        <v>18</v>
      </c>
      <c r="E48" s="59" t="s">
        <v>7</v>
      </c>
      <c r="F48" s="59" t="s">
        <v>20</v>
      </c>
      <c r="G48" s="59" t="s">
        <v>18</v>
      </c>
      <c r="H48" s="55" t="s">
        <v>665</v>
      </c>
    </row>
    <row r="49" spans="1:8">
      <c r="A49" s="58" t="s">
        <v>75</v>
      </c>
      <c r="B49" s="59" t="s">
        <v>266</v>
      </c>
      <c r="C49" s="57" t="s">
        <v>666</v>
      </c>
      <c r="D49" s="48" t="s">
        <v>18</v>
      </c>
      <c r="E49" s="59" t="s">
        <v>7</v>
      </c>
      <c r="F49" s="59" t="s">
        <v>20</v>
      </c>
      <c r="G49" s="59" t="s">
        <v>18</v>
      </c>
      <c r="H49" s="55" t="s">
        <v>667</v>
      </c>
    </row>
    <row r="50" spans="1:8">
      <c r="A50" s="58" t="s">
        <v>267</v>
      </c>
      <c r="B50" s="59" t="s">
        <v>268</v>
      </c>
      <c r="C50" s="57" t="s">
        <v>668</v>
      </c>
      <c r="D50" s="48" t="s">
        <v>18</v>
      </c>
      <c r="E50" s="59" t="s">
        <v>7</v>
      </c>
      <c r="F50" s="59" t="s">
        <v>20</v>
      </c>
      <c r="G50" s="59" t="s">
        <v>18</v>
      </c>
      <c r="H50" s="55" t="s">
        <v>669</v>
      </c>
    </row>
    <row r="51" spans="1:8">
      <c r="A51" s="58" t="s">
        <v>76</v>
      </c>
      <c r="B51" s="59" t="s">
        <v>269</v>
      </c>
      <c r="C51" s="57" t="s">
        <v>670</v>
      </c>
      <c r="D51" s="48" t="s">
        <v>18</v>
      </c>
      <c r="E51" s="59" t="s">
        <v>7</v>
      </c>
      <c r="F51" s="59" t="s">
        <v>20</v>
      </c>
      <c r="G51" s="59" t="s">
        <v>18</v>
      </c>
      <c r="H51" s="55" t="s">
        <v>671</v>
      </c>
    </row>
    <row r="52" spans="1:8">
      <c r="A52" s="58" t="s">
        <v>77</v>
      </c>
      <c r="B52" s="59" t="s">
        <v>270</v>
      </c>
      <c r="C52" s="57" t="s">
        <v>672</v>
      </c>
      <c r="D52" s="48" t="s">
        <v>18</v>
      </c>
      <c r="E52" s="59" t="s">
        <v>7</v>
      </c>
      <c r="F52" s="59" t="s">
        <v>20</v>
      </c>
      <c r="G52" s="59" t="s">
        <v>18</v>
      </c>
      <c r="H52" s="55" t="s">
        <v>673</v>
      </c>
    </row>
    <row r="53" spans="1:8">
      <c r="A53" s="58" t="s">
        <v>78</v>
      </c>
      <c r="B53" s="59" t="s">
        <v>271</v>
      </c>
      <c r="C53" s="57" t="s">
        <v>672</v>
      </c>
      <c r="D53" s="48" t="s">
        <v>18</v>
      </c>
      <c r="E53" s="59" t="s">
        <v>7</v>
      </c>
      <c r="F53" s="59" t="s">
        <v>20</v>
      </c>
      <c r="G53" s="59" t="s">
        <v>18</v>
      </c>
      <c r="H53" s="55" t="s">
        <v>674</v>
      </c>
    </row>
    <row r="54" spans="1:8">
      <c r="A54" s="58" t="s">
        <v>79</v>
      </c>
      <c r="B54" s="59" t="s">
        <v>272</v>
      </c>
      <c r="C54" s="57" t="s">
        <v>675</v>
      </c>
      <c r="D54" s="48" t="s">
        <v>18</v>
      </c>
      <c r="E54" s="59" t="s">
        <v>7</v>
      </c>
      <c r="F54" s="59" t="s">
        <v>20</v>
      </c>
      <c r="G54" s="59" t="s">
        <v>18</v>
      </c>
      <c r="H54" s="55" t="s">
        <v>676</v>
      </c>
    </row>
    <row r="55" spans="1:8">
      <c r="A55" s="58" t="s">
        <v>80</v>
      </c>
      <c r="B55" s="59" t="s">
        <v>273</v>
      </c>
      <c r="C55" s="57" t="s">
        <v>677</v>
      </c>
      <c r="D55" s="48" t="s">
        <v>18</v>
      </c>
      <c r="E55" s="59" t="s">
        <v>7</v>
      </c>
      <c r="F55" s="59" t="s">
        <v>20</v>
      </c>
      <c r="G55" s="59" t="s">
        <v>18</v>
      </c>
      <c r="H55" s="55" t="s">
        <v>678</v>
      </c>
    </row>
    <row r="56" spans="1:8">
      <c r="A56" s="58" t="s">
        <v>81</v>
      </c>
      <c r="B56" s="59" t="s">
        <v>274</v>
      </c>
      <c r="C56" s="57" t="s">
        <v>679</v>
      </c>
      <c r="D56" s="48" t="s">
        <v>18</v>
      </c>
      <c r="E56" s="59" t="s">
        <v>7</v>
      </c>
      <c r="F56" s="59" t="s">
        <v>20</v>
      </c>
      <c r="G56" s="59" t="s">
        <v>18</v>
      </c>
      <c r="H56" s="55" t="s">
        <v>680</v>
      </c>
    </row>
    <row r="57" spans="1:8">
      <c r="A57" s="58" t="s">
        <v>82</v>
      </c>
      <c r="B57" s="59" t="s">
        <v>275</v>
      </c>
      <c r="C57" s="57" t="s">
        <v>681</v>
      </c>
      <c r="D57" s="48" t="s">
        <v>18</v>
      </c>
      <c r="E57" s="59" t="s">
        <v>7</v>
      </c>
      <c r="F57" s="59" t="s">
        <v>20</v>
      </c>
      <c r="G57" s="59" t="s">
        <v>18</v>
      </c>
      <c r="H57" s="55" t="s">
        <v>682</v>
      </c>
    </row>
    <row r="58" spans="1:8">
      <c r="A58" s="58" t="s">
        <v>83</v>
      </c>
      <c r="B58" s="59" t="s">
        <v>276</v>
      </c>
      <c r="C58" s="57" t="s">
        <v>683</v>
      </c>
      <c r="D58" s="48" t="s">
        <v>18</v>
      </c>
      <c r="E58" s="59" t="s">
        <v>7</v>
      </c>
      <c r="F58" s="59" t="s">
        <v>20</v>
      </c>
      <c r="G58" s="59" t="s">
        <v>18</v>
      </c>
      <c r="H58" s="55" t="s">
        <v>684</v>
      </c>
    </row>
    <row r="59" spans="1:8">
      <c r="A59" s="58" t="s">
        <v>84</v>
      </c>
      <c r="B59" s="59" t="s">
        <v>277</v>
      </c>
      <c r="C59" s="57" t="s">
        <v>685</v>
      </c>
      <c r="D59" s="48" t="s">
        <v>18</v>
      </c>
      <c r="E59" s="59" t="s">
        <v>7</v>
      </c>
      <c r="F59" s="59" t="s">
        <v>20</v>
      </c>
      <c r="G59" s="59" t="s">
        <v>18</v>
      </c>
      <c r="H59" s="55" t="s">
        <v>686</v>
      </c>
    </row>
    <row r="60" spans="1:8">
      <c r="A60" s="45" t="s">
        <v>278</v>
      </c>
      <c r="B60" s="46" t="s">
        <v>279</v>
      </c>
      <c r="C60" s="57" t="s">
        <v>280</v>
      </c>
      <c r="D60" s="47" t="s">
        <v>18</v>
      </c>
      <c r="E60" s="46" t="s">
        <v>7</v>
      </c>
      <c r="F60" s="46" t="s">
        <v>20</v>
      </c>
      <c r="G60" s="46" t="s">
        <v>18</v>
      </c>
      <c r="H60" s="41" t="s">
        <v>687</v>
      </c>
    </row>
    <row r="61" spans="1:8">
      <c r="A61" s="45" t="s">
        <v>281</v>
      </c>
      <c r="B61" s="46" t="s">
        <v>282</v>
      </c>
      <c r="C61" s="57" t="s">
        <v>280</v>
      </c>
      <c r="D61" s="47" t="s">
        <v>18</v>
      </c>
      <c r="E61" s="46" t="s">
        <v>7</v>
      </c>
      <c r="F61" s="46" t="s">
        <v>20</v>
      </c>
      <c r="G61" s="46" t="s">
        <v>18</v>
      </c>
      <c r="H61" s="41" t="s">
        <v>688</v>
      </c>
    </row>
    <row r="62" spans="1:8">
      <c r="A62" s="45" t="s">
        <v>283</v>
      </c>
      <c r="B62" s="46" t="s">
        <v>284</v>
      </c>
      <c r="C62" s="57" t="s">
        <v>1174</v>
      </c>
      <c r="D62" s="47" t="s">
        <v>18</v>
      </c>
      <c r="E62" s="46" t="s">
        <v>7</v>
      </c>
      <c r="F62" s="46" t="s">
        <v>20</v>
      </c>
      <c r="G62" s="46" t="s">
        <v>18</v>
      </c>
      <c r="H62" s="41" t="s">
        <v>689</v>
      </c>
    </row>
    <row r="63" spans="1:8">
      <c r="A63" s="45" t="s">
        <v>286</v>
      </c>
      <c r="B63" s="46" t="s">
        <v>287</v>
      </c>
      <c r="C63" s="57" t="s">
        <v>280</v>
      </c>
      <c r="D63" s="47" t="s">
        <v>18</v>
      </c>
      <c r="E63" s="46" t="s">
        <v>7</v>
      </c>
      <c r="F63" s="46" t="s">
        <v>20</v>
      </c>
      <c r="G63" s="46" t="s">
        <v>18</v>
      </c>
      <c r="H63" s="41" t="s">
        <v>690</v>
      </c>
    </row>
    <row r="64" spans="1:8">
      <c r="A64" s="45" t="s">
        <v>288</v>
      </c>
      <c r="B64" s="46" t="s">
        <v>289</v>
      </c>
      <c r="C64" s="57" t="s">
        <v>280</v>
      </c>
      <c r="D64" s="47" t="s">
        <v>18</v>
      </c>
      <c r="E64" s="46" t="s">
        <v>7</v>
      </c>
      <c r="F64" s="46" t="s">
        <v>20</v>
      </c>
      <c r="G64" s="46" t="s">
        <v>18</v>
      </c>
      <c r="H64" s="41" t="s">
        <v>691</v>
      </c>
    </row>
    <row r="65" spans="1:8">
      <c r="A65" s="45" t="s">
        <v>290</v>
      </c>
      <c r="B65" s="46" t="s">
        <v>291</v>
      </c>
      <c r="C65" s="57" t="s">
        <v>285</v>
      </c>
      <c r="D65" s="47" t="s">
        <v>18</v>
      </c>
      <c r="E65" s="46" t="s">
        <v>7</v>
      </c>
      <c r="F65" s="46" t="s">
        <v>20</v>
      </c>
      <c r="G65" s="46" t="s">
        <v>18</v>
      </c>
      <c r="H65" s="41" t="s">
        <v>695</v>
      </c>
    </row>
    <row r="66" spans="1:8">
      <c r="A66" s="45" t="s">
        <v>292</v>
      </c>
      <c r="B66" s="46" t="s">
        <v>293</v>
      </c>
      <c r="C66" s="57" t="s">
        <v>1175</v>
      </c>
      <c r="D66" s="47" t="s">
        <v>18</v>
      </c>
      <c r="E66" s="46" t="s">
        <v>7</v>
      </c>
      <c r="F66" s="46" t="s">
        <v>20</v>
      </c>
      <c r="G66" s="46" t="s">
        <v>18</v>
      </c>
      <c r="H66" s="41" t="s">
        <v>696</v>
      </c>
    </row>
    <row r="67" spans="1:8">
      <c r="A67" s="45" t="s">
        <v>86</v>
      </c>
      <c r="B67" s="46" t="s">
        <v>294</v>
      </c>
      <c r="C67" s="57" t="s">
        <v>1175</v>
      </c>
      <c r="D67" s="47" t="s">
        <v>18</v>
      </c>
      <c r="E67" s="46" t="s">
        <v>7</v>
      </c>
      <c r="F67" s="46" t="s">
        <v>20</v>
      </c>
      <c r="G67" s="46" t="s">
        <v>18</v>
      </c>
      <c r="H67" s="41" t="s">
        <v>697</v>
      </c>
    </row>
    <row r="68" spans="1:8">
      <c r="A68" s="45" t="s">
        <v>295</v>
      </c>
      <c r="B68" s="46" t="s">
        <v>296</v>
      </c>
      <c r="C68" s="46" t="s">
        <v>1176</v>
      </c>
      <c r="D68" s="47" t="s">
        <v>18</v>
      </c>
      <c r="E68" s="46" t="s">
        <v>7</v>
      </c>
      <c r="F68" s="46" t="s">
        <v>20</v>
      </c>
      <c r="G68" s="46" t="s">
        <v>18</v>
      </c>
      <c r="H68" s="41" t="s">
        <v>698</v>
      </c>
    </row>
    <row r="69" spans="1:8">
      <c r="A69" s="45" t="s">
        <v>295</v>
      </c>
      <c r="B69" s="46" t="s">
        <v>298</v>
      </c>
      <c r="C69" s="46" t="s">
        <v>24</v>
      </c>
      <c r="D69" s="47" t="s">
        <v>18</v>
      </c>
      <c r="E69" s="46" t="s">
        <v>7</v>
      </c>
      <c r="F69" s="46" t="s">
        <v>20</v>
      </c>
      <c r="G69" s="46" t="s">
        <v>18</v>
      </c>
      <c r="H69" s="41" t="s">
        <v>297</v>
      </c>
    </row>
    <row r="70" spans="1:8">
      <c r="A70" s="45" t="s">
        <v>299</v>
      </c>
      <c r="B70" s="46" t="s">
        <v>300</v>
      </c>
      <c r="C70" s="57" t="s">
        <v>280</v>
      </c>
      <c r="D70" s="47" t="s">
        <v>18</v>
      </c>
      <c r="E70" s="46" t="s">
        <v>7</v>
      </c>
      <c r="F70" s="46" t="s">
        <v>20</v>
      </c>
      <c r="G70" s="46" t="s">
        <v>18</v>
      </c>
      <c r="H70" s="41" t="s">
        <v>301</v>
      </c>
    </row>
    <row r="71" spans="1:8">
      <c r="A71" s="45" t="s">
        <v>302</v>
      </c>
      <c r="B71" s="46" t="s">
        <v>303</v>
      </c>
      <c r="C71" s="57" t="s">
        <v>280</v>
      </c>
      <c r="D71" s="47" t="s">
        <v>18</v>
      </c>
      <c r="E71" s="46" t="s">
        <v>7</v>
      </c>
      <c r="F71" s="46" t="s">
        <v>20</v>
      </c>
      <c r="G71" s="46" t="s">
        <v>18</v>
      </c>
      <c r="H71" s="41" t="s">
        <v>304</v>
      </c>
    </row>
    <row r="72" spans="1:8">
      <c r="A72" s="45" t="s">
        <v>305</v>
      </c>
      <c r="B72" s="46" t="s">
        <v>306</v>
      </c>
      <c r="C72" s="46" t="s">
        <v>24</v>
      </c>
      <c r="D72" s="47" t="s">
        <v>18</v>
      </c>
      <c r="E72" s="46" t="s">
        <v>7</v>
      </c>
      <c r="F72" s="46" t="s">
        <v>20</v>
      </c>
      <c r="G72" s="46" t="s">
        <v>18</v>
      </c>
      <c r="H72" s="41" t="s">
        <v>307</v>
      </c>
    </row>
    <row r="73" spans="1:8">
      <c r="A73" s="45" t="s">
        <v>308</v>
      </c>
      <c r="B73" s="46" t="s">
        <v>309</v>
      </c>
      <c r="C73" s="57" t="s">
        <v>280</v>
      </c>
      <c r="D73" s="47" t="s">
        <v>18</v>
      </c>
      <c r="E73" s="46" t="s">
        <v>7</v>
      </c>
      <c r="F73" s="46" t="s">
        <v>20</v>
      </c>
      <c r="G73" s="46" t="s">
        <v>18</v>
      </c>
      <c r="H73" s="41" t="s">
        <v>699</v>
      </c>
    </row>
    <row r="74" spans="1:8">
      <c r="A74" s="45" t="s">
        <v>310</v>
      </c>
      <c r="B74" s="46" t="s">
        <v>311</v>
      </c>
      <c r="C74" s="57" t="s">
        <v>280</v>
      </c>
      <c r="D74" s="47" t="s">
        <v>18</v>
      </c>
      <c r="E74" s="46" t="s">
        <v>7</v>
      </c>
      <c r="F74" s="46" t="s">
        <v>20</v>
      </c>
      <c r="G74" s="46" t="s">
        <v>18</v>
      </c>
      <c r="H74" s="41" t="s">
        <v>700</v>
      </c>
    </row>
    <row r="75" spans="1:8">
      <c r="A75" s="45" t="s">
        <v>312</v>
      </c>
      <c r="B75" s="46" t="s">
        <v>313</v>
      </c>
      <c r="C75" s="46" t="s">
        <v>24</v>
      </c>
      <c r="D75" s="47" t="s">
        <v>18</v>
      </c>
      <c r="E75" s="46" t="s">
        <v>7</v>
      </c>
      <c r="F75" s="46" t="s">
        <v>20</v>
      </c>
      <c r="G75" s="46" t="s">
        <v>18</v>
      </c>
      <c r="H75" s="41" t="s">
        <v>314</v>
      </c>
    </row>
    <row r="76" spans="1:8">
      <c r="A76" s="45" t="s">
        <v>701</v>
      </c>
      <c r="B76" s="46" t="s">
        <v>315</v>
      </c>
      <c r="C76" s="57" t="s">
        <v>1177</v>
      </c>
      <c r="D76" s="47" t="s">
        <v>18</v>
      </c>
      <c r="E76" s="46" t="s">
        <v>7</v>
      </c>
      <c r="F76" s="46" t="s">
        <v>20</v>
      </c>
      <c r="G76" s="46" t="s">
        <v>18</v>
      </c>
      <c r="H76" s="41" t="s">
        <v>702</v>
      </c>
    </row>
    <row r="77" spans="1:8">
      <c r="A77" s="45" t="s">
        <v>88</v>
      </c>
      <c r="B77" s="46" t="s">
        <v>316</v>
      </c>
      <c r="C77" s="57" t="s">
        <v>1177</v>
      </c>
      <c r="D77" s="47" t="s">
        <v>18</v>
      </c>
      <c r="E77" s="46" t="s">
        <v>7</v>
      </c>
      <c r="F77" s="46" t="s">
        <v>20</v>
      </c>
      <c r="G77" s="46" t="s">
        <v>18</v>
      </c>
      <c r="H77" s="41" t="s">
        <v>703</v>
      </c>
    </row>
    <row r="78" spans="1:8">
      <c r="A78" s="45" t="s">
        <v>317</v>
      </c>
      <c r="B78" s="46" t="s">
        <v>318</v>
      </c>
      <c r="C78" s="57" t="s">
        <v>1178</v>
      </c>
      <c r="D78" s="47" t="s">
        <v>18</v>
      </c>
      <c r="E78" s="46" t="s">
        <v>7</v>
      </c>
      <c r="F78" s="46" t="s">
        <v>20</v>
      </c>
      <c r="G78" s="46" t="s">
        <v>18</v>
      </c>
      <c r="H78" s="41" t="s">
        <v>704</v>
      </c>
    </row>
    <row r="79" spans="1:8">
      <c r="A79" s="45" t="s">
        <v>89</v>
      </c>
      <c r="B79" s="46" t="s">
        <v>319</v>
      </c>
      <c r="C79" s="57" t="s">
        <v>1178</v>
      </c>
      <c r="D79" s="47" t="s">
        <v>18</v>
      </c>
      <c r="E79" s="46" t="s">
        <v>7</v>
      </c>
      <c r="F79" s="46" t="s">
        <v>20</v>
      </c>
      <c r="G79" s="46" t="s">
        <v>18</v>
      </c>
      <c r="H79" s="41" t="s">
        <v>705</v>
      </c>
    </row>
    <row r="80" spans="1:8">
      <c r="A80" s="58" t="s">
        <v>92</v>
      </c>
      <c r="B80" s="59" t="s">
        <v>320</v>
      </c>
      <c r="C80" s="59" t="s">
        <v>321</v>
      </c>
      <c r="D80" s="48" t="s">
        <v>18</v>
      </c>
      <c r="E80" s="59" t="s">
        <v>7</v>
      </c>
      <c r="F80" s="59" t="s">
        <v>17</v>
      </c>
      <c r="G80" s="59" t="s">
        <v>18</v>
      </c>
      <c r="H80" s="55" t="s">
        <v>322</v>
      </c>
    </row>
    <row r="81" spans="1:8">
      <c r="A81" s="58" t="s">
        <v>92</v>
      </c>
      <c r="B81" s="59" t="s">
        <v>320</v>
      </c>
      <c r="C81" s="59" t="s">
        <v>188</v>
      </c>
      <c r="D81" s="48" t="s">
        <v>18</v>
      </c>
      <c r="E81" s="59" t="s">
        <v>7</v>
      </c>
      <c r="F81" s="59" t="s">
        <v>17</v>
      </c>
      <c r="G81" s="59" t="s">
        <v>18</v>
      </c>
      <c r="H81" s="55" t="s">
        <v>323</v>
      </c>
    </row>
    <row r="82" spans="1:8">
      <c r="A82" s="58" t="s">
        <v>324</v>
      </c>
      <c r="B82" s="59" t="s">
        <v>325</v>
      </c>
      <c r="C82" s="59" t="s">
        <v>326</v>
      </c>
      <c r="D82" s="48" t="s">
        <v>18</v>
      </c>
      <c r="E82" s="59" t="s">
        <v>7</v>
      </c>
      <c r="F82" s="59" t="s">
        <v>20</v>
      </c>
      <c r="G82" s="59" t="s">
        <v>18</v>
      </c>
      <c r="H82" s="55" t="s">
        <v>327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16"/>
  <sheetViews>
    <sheetView zoomScaleNormal="100" workbookViewId="0">
      <selection activeCell="J21" sqref="J21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6.5546875" style="5" bestFit="1" customWidth="1"/>
    <col min="9" max="16384" width="8.88671875" style="5"/>
  </cols>
  <sheetData>
    <row r="1" spans="1:8">
      <c r="A1" s="1" t="s">
        <v>537</v>
      </c>
      <c r="B1" s="53" t="s">
        <v>376</v>
      </c>
      <c r="C1" s="54" t="s">
        <v>706</v>
      </c>
      <c r="D1" s="55"/>
      <c r="E1" s="55"/>
      <c r="F1" s="55"/>
      <c r="G1" s="55"/>
      <c r="H1" s="55"/>
    </row>
    <row r="2" spans="1:8">
      <c r="A2" s="1" t="s">
        <v>540</v>
      </c>
      <c r="B2" s="53" t="s">
        <v>541</v>
      </c>
      <c r="C2" s="55"/>
      <c r="D2" s="55"/>
      <c r="E2" s="55"/>
      <c r="F2" s="55"/>
      <c r="G2" s="55"/>
      <c r="H2" s="55"/>
    </row>
    <row r="3" spans="1:8">
      <c r="A3" s="2" t="s">
        <v>542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543</v>
      </c>
      <c r="B4" s="12">
        <v>6</v>
      </c>
      <c r="C4" s="55"/>
      <c r="D4" s="55"/>
      <c r="E4" s="55"/>
      <c r="F4" s="55"/>
      <c r="G4" s="55"/>
      <c r="H4" s="55"/>
    </row>
    <row r="5" spans="1:8" ht="23.25" customHeight="1">
      <c r="A5" s="4" t="s">
        <v>544</v>
      </c>
      <c r="B5" s="12" t="s">
        <v>90</v>
      </c>
      <c r="C5" s="55"/>
      <c r="D5" s="55"/>
      <c r="E5" s="55"/>
      <c r="F5" s="55"/>
      <c r="G5" s="55"/>
      <c r="H5" s="55"/>
    </row>
    <row r="6" spans="1:8" ht="33.75">
      <c r="A6" s="4" t="s">
        <v>545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637</v>
      </c>
      <c r="F7" s="3" t="s">
        <v>552</v>
      </c>
      <c r="G7" s="3" t="s">
        <v>553</v>
      </c>
      <c r="H7" s="55"/>
    </row>
    <row r="8" spans="1:8">
      <c r="A8" s="58" t="s">
        <v>328</v>
      </c>
      <c r="B8" s="59" t="s">
        <v>707</v>
      </c>
      <c r="C8" s="59" t="s">
        <v>166</v>
      </c>
      <c r="D8" s="59" t="s">
        <v>18</v>
      </c>
      <c r="E8" s="59" t="s">
        <v>7</v>
      </c>
      <c r="F8" s="59" t="s">
        <v>17</v>
      </c>
      <c r="G8" s="59" t="s">
        <v>18</v>
      </c>
      <c r="H8" s="55" t="s">
        <v>330</v>
      </c>
    </row>
    <row r="9" spans="1:8">
      <c r="A9" s="58" t="s">
        <v>708</v>
      </c>
      <c r="B9" s="59" t="s">
        <v>709</v>
      </c>
      <c r="C9" s="59" t="s">
        <v>87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332</v>
      </c>
    </row>
    <row r="10" spans="1:8">
      <c r="A10" s="58" t="s">
        <v>92</v>
      </c>
      <c r="B10" s="59" t="s">
        <v>710</v>
      </c>
      <c r="C10" s="59" t="s">
        <v>377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331</v>
      </c>
    </row>
    <row r="11" spans="1:8">
      <c r="A11" s="58" t="s">
        <v>92</v>
      </c>
      <c r="B11" s="59" t="s">
        <v>710</v>
      </c>
      <c r="C11" s="59" t="s">
        <v>24</v>
      </c>
      <c r="D11" s="48" t="s">
        <v>18</v>
      </c>
      <c r="E11" s="59" t="s">
        <v>91</v>
      </c>
      <c r="F11" s="59" t="s">
        <v>163</v>
      </c>
      <c r="G11" s="59" t="s">
        <v>18</v>
      </c>
      <c r="H11" s="55" t="s">
        <v>333</v>
      </c>
    </row>
    <row r="12" spans="1:8">
      <c r="A12" s="58" t="s">
        <v>59</v>
      </c>
      <c r="B12" s="59" t="s">
        <v>711</v>
      </c>
      <c r="C12" s="59" t="s">
        <v>712</v>
      </c>
      <c r="D12" s="48" t="s">
        <v>18</v>
      </c>
      <c r="E12" s="59" t="s">
        <v>7</v>
      </c>
      <c r="F12" s="59" t="s">
        <v>17</v>
      </c>
      <c r="G12" s="59" t="s">
        <v>18</v>
      </c>
      <c r="H12" s="44" t="s">
        <v>713</v>
      </c>
    </row>
    <row r="13" spans="1:8">
      <c r="A13" s="58" t="s">
        <v>46</v>
      </c>
      <c r="B13" s="59" t="s">
        <v>714</v>
      </c>
      <c r="C13" s="59" t="s">
        <v>715</v>
      </c>
      <c r="D13" s="48" t="s">
        <v>18</v>
      </c>
      <c r="E13" s="59" t="s">
        <v>7</v>
      </c>
      <c r="F13" s="59" t="s">
        <v>20</v>
      </c>
      <c r="G13" s="59" t="s">
        <v>18</v>
      </c>
      <c r="H13" s="44" t="s">
        <v>716</v>
      </c>
    </row>
    <row r="14" spans="1:8">
      <c r="A14" s="58" t="s">
        <v>92</v>
      </c>
      <c r="B14" s="59" t="s">
        <v>710</v>
      </c>
      <c r="C14" s="59" t="s">
        <v>166</v>
      </c>
      <c r="D14" s="48" t="s">
        <v>18</v>
      </c>
      <c r="E14" s="59" t="s">
        <v>7</v>
      </c>
      <c r="F14" s="59" t="s">
        <v>18</v>
      </c>
      <c r="G14" s="59" t="s">
        <v>163</v>
      </c>
      <c r="H14" s="122" t="s">
        <v>334</v>
      </c>
    </row>
    <row r="15" spans="1:8">
      <c r="A15" s="58" t="s">
        <v>92</v>
      </c>
      <c r="B15" s="59" t="s">
        <v>710</v>
      </c>
      <c r="C15" s="59" t="s">
        <v>24</v>
      </c>
      <c r="D15" s="48" t="s">
        <v>18</v>
      </c>
      <c r="E15" s="59" t="s">
        <v>7</v>
      </c>
      <c r="F15" s="59" t="s">
        <v>18</v>
      </c>
      <c r="G15" s="59" t="s">
        <v>163</v>
      </c>
      <c r="H15" s="122"/>
    </row>
    <row r="16" spans="1:8">
      <c r="A16" s="63" t="s">
        <v>1147</v>
      </c>
      <c r="B16" s="64" t="s">
        <v>717</v>
      </c>
      <c r="C16" s="57" t="s">
        <v>1179</v>
      </c>
      <c r="D16" s="65" t="s">
        <v>18</v>
      </c>
      <c r="E16" s="64" t="s">
        <v>7</v>
      </c>
      <c r="F16" s="64" t="s">
        <v>17</v>
      </c>
      <c r="G16" s="64" t="s">
        <v>18</v>
      </c>
      <c r="H16" s="40" t="s">
        <v>172</v>
      </c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J11"/>
  <sheetViews>
    <sheetView zoomScaleNormal="100" workbookViewId="0">
      <selection activeCell="I33" sqref="I33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8.5546875" style="5" bestFit="1" customWidth="1"/>
    <col min="9" max="16384" width="8.88671875" style="5"/>
  </cols>
  <sheetData>
    <row r="1" spans="1:10">
      <c r="A1" s="1" t="s">
        <v>537</v>
      </c>
      <c r="B1" s="53" t="s">
        <v>378</v>
      </c>
      <c r="C1" s="54" t="s">
        <v>718</v>
      </c>
      <c r="D1" s="55"/>
      <c r="E1" s="55"/>
      <c r="F1" s="55"/>
      <c r="G1" s="55"/>
      <c r="H1" s="55"/>
    </row>
    <row r="2" spans="1:10">
      <c r="A2" s="1" t="s">
        <v>540</v>
      </c>
      <c r="B2" s="53" t="s">
        <v>541</v>
      </c>
      <c r="C2" s="55"/>
      <c r="D2" s="55"/>
      <c r="E2" s="55"/>
      <c r="F2" s="55"/>
      <c r="G2" s="55"/>
      <c r="H2" s="55"/>
    </row>
    <row r="3" spans="1:10">
      <c r="A3" s="2" t="s">
        <v>542</v>
      </c>
      <c r="B3" s="12">
        <v>1</v>
      </c>
      <c r="C3" s="55"/>
      <c r="D3" s="55"/>
      <c r="E3" s="55"/>
      <c r="F3" s="55"/>
      <c r="G3" s="55"/>
      <c r="H3" s="55"/>
    </row>
    <row r="4" spans="1:10">
      <c r="A4" s="2" t="s">
        <v>543</v>
      </c>
      <c r="B4" s="12">
        <v>7</v>
      </c>
      <c r="C4" s="55"/>
      <c r="D4" s="55"/>
      <c r="E4" s="55"/>
      <c r="F4" s="55"/>
      <c r="G4" s="55"/>
      <c r="H4" s="55"/>
    </row>
    <row r="5" spans="1:10" ht="23.25" customHeight="1">
      <c r="A5" s="4" t="s">
        <v>544</v>
      </c>
      <c r="B5" s="12" t="s">
        <v>15</v>
      </c>
      <c r="C5" s="55"/>
      <c r="D5" s="55"/>
      <c r="E5" s="55"/>
      <c r="F5" s="55"/>
      <c r="G5" s="55"/>
      <c r="H5" s="55"/>
    </row>
    <row r="6" spans="1:10" ht="33.75">
      <c r="A6" s="4" t="s">
        <v>545</v>
      </c>
      <c r="B6" s="12" t="s">
        <v>90</v>
      </c>
      <c r="C6" s="55"/>
      <c r="D6" s="55"/>
      <c r="E6" s="55"/>
      <c r="F6" s="55"/>
      <c r="G6" s="55"/>
      <c r="H6" s="55"/>
    </row>
    <row r="7" spans="1:10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627</v>
      </c>
      <c r="F7" s="3" t="s">
        <v>552</v>
      </c>
      <c r="G7" s="3" t="s">
        <v>553</v>
      </c>
      <c r="H7" s="51" t="s">
        <v>1348</v>
      </c>
      <c r="I7" s="55"/>
      <c r="J7" s="55"/>
    </row>
    <row r="8" spans="1:10">
      <c r="A8" s="58" t="s">
        <v>92</v>
      </c>
      <c r="B8" s="59" t="s">
        <v>710</v>
      </c>
      <c r="C8" s="59" t="s">
        <v>335</v>
      </c>
      <c r="D8" s="42" t="s">
        <v>18</v>
      </c>
      <c r="E8" s="59" t="s">
        <v>7</v>
      </c>
      <c r="F8" s="59" t="s">
        <v>20</v>
      </c>
      <c r="G8" s="59" t="s">
        <v>18</v>
      </c>
      <c r="H8" s="59"/>
      <c r="I8" s="55" t="s">
        <v>336</v>
      </c>
      <c r="J8" s="55"/>
    </row>
    <row r="9" spans="1:10">
      <c r="A9" s="58" t="s">
        <v>92</v>
      </c>
      <c r="B9" s="59" t="s">
        <v>710</v>
      </c>
      <c r="C9" s="59" t="s">
        <v>24</v>
      </c>
      <c r="D9" s="42" t="s">
        <v>18</v>
      </c>
      <c r="E9" s="59" t="s">
        <v>91</v>
      </c>
      <c r="F9" s="59" t="s">
        <v>337</v>
      </c>
      <c r="G9" s="59" t="s">
        <v>18</v>
      </c>
      <c r="H9" s="59"/>
      <c r="I9" s="55" t="s">
        <v>338</v>
      </c>
      <c r="J9" s="55"/>
    </row>
    <row r="10" spans="1:10">
      <c r="A10" s="58" t="s">
        <v>59</v>
      </c>
      <c r="B10" s="59" t="s">
        <v>711</v>
      </c>
      <c r="C10" s="59" t="s">
        <v>712</v>
      </c>
      <c r="D10" s="48" t="s">
        <v>18</v>
      </c>
      <c r="E10" s="59" t="s">
        <v>7</v>
      </c>
      <c r="F10" s="59" t="s">
        <v>17</v>
      </c>
      <c r="G10" s="59" t="s">
        <v>18</v>
      </c>
      <c r="H10" s="59"/>
      <c r="I10" s="44" t="s">
        <v>713</v>
      </c>
      <c r="J10" s="55"/>
    </row>
    <row r="11" spans="1:10" ht="36">
      <c r="A11" s="58" t="s">
        <v>46</v>
      </c>
      <c r="B11" s="59" t="s">
        <v>714</v>
      </c>
      <c r="C11" s="59" t="s">
        <v>715</v>
      </c>
      <c r="D11" s="42" t="s">
        <v>18</v>
      </c>
      <c r="E11" s="59" t="s">
        <v>7</v>
      </c>
      <c r="F11" s="59" t="s">
        <v>20</v>
      </c>
      <c r="G11" s="59" t="s">
        <v>18</v>
      </c>
      <c r="H11" s="59"/>
      <c r="I11" s="43" t="s">
        <v>719</v>
      </c>
      <c r="J11" s="118" t="s">
        <v>1349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53"/>
  <sheetViews>
    <sheetView tabSelected="1" topLeftCell="A34" zoomScaleNormal="100" workbookViewId="0">
      <selection activeCell="I61" sqref="I61"/>
    </sheetView>
  </sheetViews>
  <sheetFormatPr defaultColWidth="8.88671875" defaultRowHeight="12"/>
  <cols>
    <col min="1" max="1" width="16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6640625" style="5" bestFit="1" customWidth="1"/>
    <col min="9" max="9" width="19.44140625" style="5" customWidth="1"/>
    <col min="10" max="16384" width="8.88671875" style="5"/>
  </cols>
  <sheetData>
    <row r="1" spans="1:8">
      <c r="A1" s="1" t="s">
        <v>537</v>
      </c>
      <c r="B1" s="53" t="s">
        <v>379</v>
      </c>
      <c r="C1" s="54" t="s">
        <v>720</v>
      </c>
      <c r="D1" s="55"/>
      <c r="E1" s="55"/>
      <c r="F1" s="55"/>
      <c r="G1" s="55"/>
      <c r="H1" s="55"/>
    </row>
    <row r="2" spans="1:8">
      <c r="A2" s="1" t="s">
        <v>540</v>
      </c>
      <c r="B2" s="53" t="s">
        <v>721</v>
      </c>
      <c r="C2" s="55"/>
      <c r="D2" s="55"/>
      <c r="E2" s="55"/>
      <c r="F2" s="55"/>
      <c r="G2" s="55"/>
      <c r="H2" s="55"/>
    </row>
    <row r="3" spans="1:8">
      <c r="A3" s="2" t="s">
        <v>542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543</v>
      </c>
      <c r="B4" s="12">
        <v>8</v>
      </c>
      <c r="C4" s="55"/>
      <c r="D4" s="55"/>
      <c r="E4" s="55"/>
      <c r="F4" s="55"/>
      <c r="G4" s="55"/>
      <c r="H4" s="55"/>
    </row>
    <row r="5" spans="1:8" ht="23.25" customHeight="1">
      <c r="A5" s="4" t="s">
        <v>544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545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637</v>
      </c>
      <c r="F7" s="3" t="s">
        <v>552</v>
      </c>
      <c r="G7" s="3" t="s">
        <v>553</v>
      </c>
      <c r="H7" s="55"/>
    </row>
    <row r="8" spans="1:8" ht="12" customHeight="1">
      <c r="A8" s="58" t="s">
        <v>93</v>
      </c>
      <c r="B8" s="59" t="s">
        <v>722</v>
      </c>
      <c r="C8" s="59" t="s">
        <v>1333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339</v>
      </c>
    </row>
    <row r="9" spans="1:8" s="71" customFormat="1" ht="12" customHeight="1">
      <c r="A9" s="58" t="s">
        <v>340</v>
      </c>
      <c r="B9" s="59" t="s">
        <v>723</v>
      </c>
      <c r="C9" s="59" t="s">
        <v>485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380</v>
      </c>
    </row>
    <row r="10" spans="1:8" s="71" customFormat="1" ht="12" customHeight="1">
      <c r="A10" s="58" t="s">
        <v>94</v>
      </c>
      <c r="B10" s="59" t="s">
        <v>724</v>
      </c>
      <c r="C10" s="59" t="s">
        <v>485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380</v>
      </c>
    </row>
    <row r="11" spans="1:8" s="71" customFormat="1" ht="12" customHeight="1">
      <c r="A11" s="58" t="s">
        <v>95</v>
      </c>
      <c r="B11" s="59" t="s">
        <v>725</v>
      </c>
      <c r="C11" s="59" t="s">
        <v>485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380</v>
      </c>
    </row>
    <row r="12" spans="1:8" s="71" customFormat="1" ht="12" customHeight="1">
      <c r="A12" s="58" t="s">
        <v>96</v>
      </c>
      <c r="B12" s="59" t="s">
        <v>726</v>
      </c>
      <c r="C12" s="59" t="s">
        <v>485</v>
      </c>
      <c r="D12" s="48" t="s">
        <v>18</v>
      </c>
      <c r="E12" s="59" t="s">
        <v>7</v>
      </c>
      <c r="F12" s="59" t="s">
        <v>20</v>
      </c>
      <c r="G12" s="59" t="s">
        <v>18</v>
      </c>
      <c r="H12" s="55" t="s">
        <v>380</v>
      </c>
    </row>
    <row r="13" spans="1:8" s="71" customFormat="1" ht="12" customHeight="1">
      <c r="A13" s="58" t="s">
        <v>727</v>
      </c>
      <c r="B13" s="59" t="s">
        <v>728</v>
      </c>
      <c r="C13" s="59" t="s">
        <v>485</v>
      </c>
      <c r="D13" s="48" t="s">
        <v>18</v>
      </c>
      <c r="E13" s="59" t="s">
        <v>7</v>
      </c>
      <c r="F13" s="59" t="s">
        <v>20</v>
      </c>
      <c r="G13" s="59" t="s">
        <v>18</v>
      </c>
      <c r="H13" s="55" t="s">
        <v>380</v>
      </c>
    </row>
    <row r="14" spans="1:8" s="70" customFormat="1">
      <c r="A14" s="58" t="s">
        <v>729</v>
      </c>
      <c r="B14" s="59" t="s">
        <v>730</v>
      </c>
      <c r="C14" s="59" t="s">
        <v>485</v>
      </c>
      <c r="D14" s="48" t="s">
        <v>18</v>
      </c>
      <c r="E14" s="59" t="s">
        <v>7</v>
      </c>
      <c r="F14" s="59" t="s">
        <v>20</v>
      </c>
      <c r="G14" s="59" t="s">
        <v>18</v>
      </c>
      <c r="H14" s="55" t="s">
        <v>380</v>
      </c>
    </row>
    <row r="15" spans="1:8" s="70" customFormat="1" ht="12" customHeight="1">
      <c r="A15" s="58" t="s">
        <v>731</v>
      </c>
      <c r="B15" s="59" t="s">
        <v>732</v>
      </c>
      <c r="C15" s="59" t="s">
        <v>485</v>
      </c>
      <c r="D15" s="48" t="s">
        <v>18</v>
      </c>
      <c r="E15" s="59" t="s">
        <v>7</v>
      </c>
      <c r="F15" s="59" t="s">
        <v>20</v>
      </c>
      <c r="G15" s="59" t="s">
        <v>18</v>
      </c>
      <c r="H15" s="55" t="s">
        <v>380</v>
      </c>
    </row>
    <row r="16" spans="1:8" ht="12" customHeight="1">
      <c r="A16" s="58" t="s">
        <v>341</v>
      </c>
      <c r="B16" s="59" t="s">
        <v>733</v>
      </c>
      <c r="C16" s="59" t="s">
        <v>342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381</v>
      </c>
    </row>
    <row r="17" spans="1:8">
      <c r="A17" s="58" t="s">
        <v>97</v>
      </c>
      <c r="B17" s="59" t="s">
        <v>734</v>
      </c>
      <c r="C17" s="59" t="s">
        <v>342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381</v>
      </c>
    </row>
    <row r="18" spans="1:8">
      <c r="A18" s="58" t="s">
        <v>98</v>
      </c>
      <c r="B18" s="59" t="s">
        <v>735</v>
      </c>
      <c r="C18" s="59" t="s">
        <v>342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381</v>
      </c>
    </row>
    <row r="19" spans="1:8">
      <c r="A19" s="58" t="s">
        <v>99</v>
      </c>
      <c r="B19" s="59" t="s">
        <v>736</v>
      </c>
      <c r="C19" s="59" t="s">
        <v>342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381</v>
      </c>
    </row>
    <row r="20" spans="1:8">
      <c r="A20" s="58" t="s">
        <v>100</v>
      </c>
      <c r="B20" s="59" t="s">
        <v>737</v>
      </c>
      <c r="C20" s="59" t="s">
        <v>342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381</v>
      </c>
    </row>
    <row r="21" spans="1:8">
      <c r="A21" s="58" t="s">
        <v>738</v>
      </c>
      <c r="B21" s="59" t="s">
        <v>739</v>
      </c>
      <c r="C21" s="59" t="s">
        <v>342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381</v>
      </c>
    </row>
    <row r="22" spans="1:8">
      <c r="A22" s="58" t="s">
        <v>740</v>
      </c>
      <c r="B22" s="59" t="s">
        <v>741</v>
      </c>
      <c r="C22" s="59" t="s">
        <v>342</v>
      </c>
      <c r="D22" s="48" t="s">
        <v>18</v>
      </c>
      <c r="E22" s="59" t="s">
        <v>7</v>
      </c>
      <c r="F22" s="59" t="s">
        <v>17</v>
      </c>
      <c r="G22" s="59" t="s">
        <v>18</v>
      </c>
      <c r="H22" s="55" t="s">
        <v>381</v>
      </c>
    </row>
    <row r="23" spans="1:8">
      <c r="A23" s="58" t="s">
        <v>343</v>
      </c>
      <c r="B23" s="59" t="s">
        <v>742</v>
      </c>
      <c r="C23" s="59" t="s">
        <v>342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382</v>
      </c>
    </row>
    <row r="24" spans="1:8">
      <c r="A24" s="58" t="s">
        <v>101</v>
      </c>
      <c r="B24" s="59" t="s">
        <v>743</v>
      </c>
      <c r="C24" s="59" t="s">
        <v>342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382</v>
      </c>
    </row>
    <row r="25" spans="1:8">
      <c r="A25" s="58" t="s">
        <v>102</v>
      </c>
      <c r="B25" s="59" t="s">
        <v>744</v>
      </c>
      <c r="C25" s="59" t="s">
        <v>342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382</v>
      </c>
    </row>
    <row r="26" spans="1:8">
      <c r="A26" s="58" t="s">
        <v>103</v>
      </c>
      <c r="B26" s="59" t="s">
        <v>745</v>
      </c>
      <c r="C26" s="59" t="s">
        <v>342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382</v>
      </c>
    </row>
    <row r="27" spans="1:8">
      <c r="A27" s="58" t="s">
        <v>746</v>
      </c>
      <c r="B27" s="59" t="s">
        <v>747</v>
      </c>
      <c r="C27" s="59" t="s">
        <v>342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382</v>
      </c>
    </row>
    <row r="28" spans="1:8">
      <c r="A28" s="58" t="s">
        <v>748</v>
      </c>
      <c r="B28" s="59" t="s">
        <v>749</v>
      </c>
      <c r="C28" s="59" t="s">
        <v>342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382</v>
      </c>
    </row>
    <row r="29" spans="1:8">
      <c r="A29" s="58" t="s">
        <v>750</v>
      </c>
      <c r="B29" s="59" t="s">
        <v>751</v>
      </c>
      <c r="C29" s="59" t="s">
        <v>342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382</v>
      </c>
    </row>
    <row r="30" spans="1:8">
      <c r="A30" s="58" t="s">
        <v>344</v>
      </c>
      <c r="B30" s="59" t="s">
        <v>752</v>
      </c>
      <c r="C30" s="59" t="s">
        <v>1342</v>
      </c>
      <c r="D30" s="48" t="s">
        <v>18</v>
      </c>
      <c r="E30" s="59" t="s">
        <v>7</v>
      </c>
      <c r="F30" s="59" t="s">
        <v>20</v>
      </c>
      <c r="G30" s="59" t="s">
        <v>18</v>
      </c>
      <c r="H30" s="55" t="s">
        <v>383</v>
      </c>
    </row>
    <row r="31" spans="1:8">
      <c r="A31" s="58" t="s">
        <v>104</v>
      </c>
      <c r="B31" s="59" t="s">
        <v>753</v>
      </c>
      <c r="C31" s="59" t="s">
        <v>156</v>
      </c>
      <c r="D31" s="48" t="s">
        <v>18</v>
      </c>
      <c r="E31" s="59" t="s">
        <v>7</v>
      </c>
      <c r="F31" s="59" t="s">
        <v>20</v>
      </c>
      <c r="G31" s="59" t="s">
        <v>18</v>
      </c>
      <c r="H31" s="55" t="s">
        <v>383</v>
      </c>
    </row>
    <row r="32" spans="1:8">
      <c r="A32" s="58" t="s">
        <v>105</v>
      </c>
      <c r="B32" s="59" t="s">
        <v>754</v>
      </c>
      <c r="C32" s="59" t="s">
        <v>755</v>
      </c>
      <c r="D32" s="48" t="s">
        <v>18</v>
      </c>
      <c r="E32" s="59" t="s">
        <v>7</v>
      </c>
      <c r="F32" s="59" t="s">
        <v>20</v>
      </c>
      <c r="G32" s="59" t="s">
        <v>18</v>
      </c>
      <c r="H32" s="55" t="s">
        <v>756</v>
      </c>
    </row>
    <row r="33" spans="1:8">
      <c r="A33" s="58" t="s">
        <v>106</v>
      </c>
      <c r="B33" s="59" t="s">
        <v>757</v>
      </c>
      <c r="C33" s="59" t="s">
        <v>156</v>
      </c>
      <c r="D33" s="48" t="s">
        <v>18</v>
      </c>
      <c r="E33" s="59" t="s">
        <v>7</v>
      </c>
      <c r="F33" s="59" t="s">
        <v>20</v>
      </c>
      <c r="G33" s="59" t="s">
        <v>18</v>
      </c>
      <c r="H33" s="55" t="s">
        <v>383</v>
      </c>
    </row>
    <row r="34" spans="1:8">
      <c r="A34" s="58" t="s">
        <v>107</v>
      </c>
      <c r="B34" s="59" t="s">
        <v>758</v>
      </c>
      <c r="C34" s="59" t="s">
        <v>156</v>
      </c>
      <c r="D34" s="48" t="s">
        <v>18</v>
      </c>
      <c r="E34" s="59" t="s">
        <v>7</v>
      </c>
      <c r="F34" s="59" t="s">
        <v>20</v>
      </c>
      <c r="G34" s="59" t="s">
        <v>18</v>
      </c>
      <c r="H34" s="55" t="s">
        <v>383</v>
      </c>
    </row>
    <row r="35" spans="1:8">
      <c r="A35" s="58" t="s">
        <v>759</v>
      </c>
      <c r="B35" s="59" t="s">
        <v>760</v>
      </c>
      <c r="C35" s="59" t="s">
        <v>156</v>
      </c>
      <c r="D35" s="48" t="s">
        <v>18</v>
      </c>
      <c r="E35" s="59" t="s">
        <v>7</v>
      </c>
      <c r="F35" s="59" t="s">
        <v>20</v>
      </c>
      <c r="G35" s="59" t="s">
        <v>18</v>
      </c>
      <c r="H35" s="55" t="s">
        <v>383</v>
      </c>
    </row>
    <row r="36" spans="1:8">
      <c r="A36" s="58" t="s">
        <v>761</v>
      </c>
      <c r="B36" s="59" t="s">
        <v>762</v>
      </c>
      <c r="C36" s="59" t="s">
        <v>156</v>
      </c>
      <c r="D36" s="48" t="s">
        <v>18</v>
      </c>
      <c r="E36" s="59" t="s">
        <v>7</v>
      </c>
      <c r="F36" s="59" t="s">
        <v>20</v>
      </c>
      <c r="G36" s="59" t="s">
        <v>18</v>
      </c>
      <c r="H36" s="55" t="s">
        <v>383</v>
      </c>
    </row>
    <row r="37" spans="1:8">
      <c r="A37" s="58" t="s">
        <v>345</v>
      </c>
      <c r="B37" s="59" t="s">
        <v>763</v>
      </c>
      <c r="C37" s="59" t="s">
        <v>1342</v>
      </c>
      <c r="D37" s="48" t="s">
        <v>18</v>
      </c>
      <c r="E37" s="59" t="s">
        <v>7</v>
      </c>
      <c r="F37" s="59" t="s">
        <v>20</v>
      </c>
      <c r="G37" s="59" t="s">
        <v>18</v>
      </c>
      <c r="H37" s="55" t="s">
        <v>383</v>
      </c>
    </row>
    <row r="38" spans="1:8">
      <c r="A38" s="58" t="s">
        <v>108</v>
      </c>
      <c r="B38" s="59" t="s">
        <v>764</v>
      </c>
      <c r="C38" s="59" t="s">
        <v>156</v>
      </c>
      <c r="D38" s="48" t="s">
        <v>18</v>
      </c>
      <c r="E38" s="59" t="s">
        <v>7</v>
      </c>
      <c r="F38" s="59" t="s">
        <v>20</v>
      </c>
      <c r="G38" s="59" t="s">
        <v>18</v>
      </c>
      <c r="H38" s="55" t="s">
        <v>383</v>
      </c>
    </row>
    <row r="39" spans="1:8">
      <c r="A39" s="58" t="s">
        <v>109</v>
      </c>
      <c r="B39" s="59" t="s">
        <v>765</v>
      </c>
      <c r="C39" s="59" t="s">
        <v>755</v>
      </c>
      <c r="D39" s="48" t="s">
        <v>18</v>
      </c>
      <c r="E39" s="59" t="s">
        <v>7</v>
      </c>
      <c r="F39" s="59" t="s">
        <v>20</v>
      </c>
      <c r="G39" s="59" t="s">
        <v>18</v>
      </c>
      <c r="H39" s="55" t="s">
        <v>766</v>
      </c>
    </row>
    <row r="40" spans="1:8">
      <c r="A40" s="58" t="s">
        <v>110</v>
      </c>
      <c r="B40" s="59" t="s">
        <v>767</v>
      </c>
      <c r="C40" s="59" t="s">
        <v>156</v>
      </c>
      <c r="D40" s="48" t="s">
        <v>18</v>
      </c>
      <c r="E40" s="59" t="s">
        <v>7</v>
      </c>
      <c r="F40" s="59" t="s">
        <v>20</v>
      </c>
      <c r="G40" s="59" t="s">
        <v>18</v>
      </c>
      <c r="H40" s="55" t="s">
        <v>383</v>
      </c>
    </row>
    <row r="41" spans="1:8">
      <c r="A41" s="58" t="s">
        <v>111</v>
      </c>
      <c r="B41" s="59" t="s">
        <v>768</v>
      </c>
      <c r="C41" s="59" t="s">
        <v>156</v>
      </c>
      <c r="D41" s="48" t="s">
        <v>18</v>
      </c>
      <c r="E41" s="59" t="s">
        <v>7</v>
      </c>
      <c r="F41" s="59" t="s">
        <v>20</v>
      </c>
      <c r="G41" s="59" t="s">
        <v>18</v>
      </c>
      <c r="H41" s="55" t="s">
        <v>383</v>
      </c>
    </row>
    <row r="42" spans="1:8">
      <c r="A42" s="58" t="s">
        <v>769</v>
      </c>
      <c r="B42" s="59" t="s">
        <v>770</v>
      </c>
      <c r="C42" s="59" t="s">
        <v>156</v>
      </c>
      <c r="D42" s="48" t="s">
        <v>18</v>
      </c>
      <c r="E42" s="59" t="s">
        <v>7</v>
      </c>
      <c r="F42" s="59" t="s">
        <v>20</v>
      </c>
      <c r="G42" s="59" t="s">
        <v>18</v>
      </c>
      <c r="H42" s="55" t="s">
        <v>383</v>
      </c>
    </row>
    <row r="43" spans="1:8">
      <c r="A43" s="58" t="s">
        <v>771</v>
      </c>
      <c r="B43" s="59" t="s">
        <v>772</v>
      </c>
      <c r="C43" s="59" t="s">
        <v>156</v>
      </c>
      <c r="D43" s="48" t="s">
        <v>18</v>
      </c>
      <c r="E43" s="59" t="s">
        <v>7</v>
      </c>
      <c r="F43" s="59" t="s">
        <v>20</v>
      </c>
      <c r="G43" s="59" t="s">
        <v>18</v>
      </c>
      <c r="H43" s="55" t="s">
        <v>383</v>
      </c>
    </row>
    <row r="44" spans="1:8">
      <c r="A44" s="45" t="s">
        <v>112</v>
      </c>
      <c r="B44" s="46" t="s">
        <v>773</v>
      </c>
      <c r="C44" s="126" t="s">
        <v>1359</v>
      </c>
      <c r="D44" s="47" t="s">
        <v>18</v>
      </c>
      <c r="E44" s="46" t="s">
        <v>7</v>
      </c>
      <c r="F44" s="46" t="s">
        <v>20</v>
      </c>
      <c r="G44" s="46" t="s">
        <v>18</v>
      </c>
      <c r="H44" s="102" t="s">
        <v>384</v>
      </c>
    </row>
    <row r="45" spans="1:8">
      <c r="A45" s="45" t="s">
        <v>113</v>
      </c>
      <c r="B45" s="46" t="s">
        <v>774</v>
      </c>
      <c r="C45" s="126" t="s">
        <v>775</v>
      </c>
      <c r="D45" s="47" t="s">
        <v>18</v>
      </c>
      <c r="E45" s="46" t="s">
        <v>7</v>
      </c>
      <c r="F45" s="46" t="s">
        <v>20</v>
      </c>
      <c r="G45" s="46" t="s">
        <v>18</v>
      </c>
      <c r="H45" s="102" t="s">
        <v>384</v>
      </c>
    </row>
    <row r="46" spans="1:8">
      <c r="A46" s="45" t="s">
        <v>114</v>
      </c>
      <c r="B46" s="46" t="s">
        <v>776</v>
      </c>
      <c r="C46" s="126" t="s">
        <v>1360</v>
      </c>
      <c r="D46" s="47" t="s">
        <v>18</v>
      </c>
      <c r="E46" s="46" t="s">
        <v>7</v>
      </c>
      <c r="F46" s="46" t="s">
        <v>20</v>
      </c>
      <c r="G46" s="46" t="s">
        <v>18</v>
      </c>
      <c r="H46" s="102" t="s">
        <v>384</v>
      </c>
    </row>
    <row r="47" spans="1:8">
      <c r="A47" s="45" t="s">
        <v>115</v>
      </c>
      <c r="B47" s="46" t="s">
        <v>777</v>
      </c>
      <c r="C47" s="126" t="s">
        <v>1361</v>
      </c>
      <c r="D47" s="47" t="s">
        <v>18</v>
      </c>
      <c r="E47" s="46" t="s">
        <v>7</v>
      </c>
      <c r="F47" s="46" t="s">
        <v>20</v>
      </c>
      <c r="G47" s="46" t="s">
        <v>18</v>
      </c>
      <c r="H47" s="102" t="s">
        <v>384</v>
      </c>
    </row>
    <row r="48" spans="1:8">
      <c r="A48" s="45" t="s">
        <v>778</v>
      </c>
      <c r="B48" s="46" t="s">
        <v>779</v>
      </c>
      <c r="C48" s="126" t="s">
        <v>1362</v>
      </c>
      <c r="D48" s="47" t="s">
        <v>18</v>
      </c>
      <c r="E48" s="46" t="s">
        <v>7</v>
      </c>
      <c r="F48" s="46" t="s">
        <v>20</v>
      </c>
      <c r="G48" s="46" t="s">
        <v>18</v>
      </c>
      <c r="H48" s="102" t="s">
        <v>384</v>
      </c>
    </row>
    <row r="49" spans="1:8">
      <c r="A49" s="45" t="s">
        <v>780</v>
      </c>
      <c r="B49" s="46" t="s">
        <v>781</v>
      </c>
      <c r="C49" s="126" t="s">
        <v>1363</v>
      </c>
      <c r="D49" s="47" t="s">
        <v>18</v>
      </c>
      <c r="E49" s="46" t="s">
        <v>7</v>
      </c>
      <c r="F49" s="46" t="s">
        <v>20</v>
      </c>
      <c r="G49" s="46" t="s">
        <v>18</v>
      </c>
      <c r="H49" s="102" t="s">
        <v>384</v>
      </c>
    </row>
    <row r="50" spans="1:8">
      <c r="A50" s="45" t="s">
        <v>782</v>
      </c>
      <c r="B50" s="46" t="s">
        <v>783</v>
      </c>
      <c r="C50" s="126" t="s">
        <v>1364</v>
      </c>
      <c r="D50" s="47" t="s">
        <v>18</v>
      </c>
      <c r="E50" s="46" t="s">
        <v>7</v>
      </c>
      <c r="F50" s="46" t="s">
        <v>20</v>
      </c>
      <c r="G50" s="46" t="s">
        <v>18</v>
      </c>
      <c r="H50" s="102" t="s">
        <v>384</v>
      </c>
    </row>
    <row r="51" spans="1:8">
      <c r="A51" s="45" t="s">
        <v>784</v>
      </c>
      <c r="B51" s="46" t="s">
        <v>785</v>
      </c>
      <c r="C51" s="126" t="s">
        <v>1365</v>
      </c>
      <c r="D51" s="47" t="s">
        <v>18</v>
      </c>
      <c r="E51" s="46" t="s">
        <v>7</v>
      </c>
      <c r="F51" s="46" t="s">
        <v>20</v>
      </c>
      <c r="G51" s="46" t="s">
        <v>18</v>
      </c>
      <c r="H51" s="102" t="s">
        <v>384</v>
      </c>
    </row>
    <row r="52" spans="1:8">
      <c r="A52" s="45" t="s">
        <v>482</v>
      </c>
      <c r="B52" s="46" t="s">
        <v>786</v>
      </c>
      <c r="C52" s="126" t="s">
        <v>1366</v>
      </c>
      <c r="D52" s="47" t="s">
        <v>18</v>
      </c>
      <c r="E52" s="46" t="s">
        <v>7</v>
      </c>
      <c r="F52" s="46" t="s">
        <v>20</v>
      </c>
      <c r="G52" s="46" t="s">
        <v>18</v>
      </c>
      <c r="H52" s="103" t="s">
        <v>787</v>
      </c>
    </row>
    <row r="53" spans="1:8">
      <c r="A53" s="45" t="s">
        <v>788</v>
      </c>
      <c r="B53" s="46" t="s">
        <v>789</v>
      </c>
      <c r="C53" s="126" t="s">
        <v>1367</v>
      </c>
      <c r="D53" s="47" t="s">
        <v>18</v>
      </c>
      <c r="E53" s="46" t="s">
        <v>7</v>
      </c>
      <c r="F53" s="46" t="s">
        <v>20</v>
      </c>
      <c r="G53" s="46" t="s">
        <v>18</v>
      </c>
      <c r="H53" s="55" t="s">
        <v>790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H36"/>
  <sheetViews>
    <sheetView zoomScaleNormal="100" workbookViewId="0">
      <selection activeCell="A23" sqref="A22:XFD23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0.6640625" style="5" bestFit="1" customWidth="1"/>
    <col min="9" max="16384" width="8.88671875" style="5"/>
  </cols>
  <sheetData>
    <row r="1" spans="1:8">
      <c r="A1" s="1" t="s">
        <v>537</v>
      </c>
      <c r="B1" s="53" t="s">
        <v>385</v>
      </c>
      <c r="C1" s="54" t="s">
        <v>791</v>
      </c>
      <c r="D1" s="55"/>
      <c r="E1" s="55"/>
      <c r="F1" s="55"/>
      <c r="G1" s="55"/>
      <c r="H1" s="55"/>
    </row>
    <row r="2" spans="1:8">
      <c r="A2" s="1" t="s">
        <v>540</v>
      </c>
      <c r="B2" s="53" t="s">
        <v>1148</v>
      </c>
      <c r="C2" s="55"/>
      <c r="D2" s="55"/>
      <c r="E2" s="55"/>
      <c r="F2" s="55"/>
      <c r="G2" s="55"/>
      <c r="H2" s="55"/>
    </row>
    <row r="3" spans="1:8">
      <c r="A3" s="2" t="s">
        <v>542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543</v>
      </c>
      <c r="B4" s="12">
        <v>9</v>
      </c>
      <c r="C4" s="55"/>
      <c r="D4" s="55"/>
      <c r="E4" s="55"/>
      <c r="F4" s="55"/>
      <c r="G4" s="55"/>
      <c r="H4" s="55"/>
    </row>
    <row r="5" spans="1:8" ht="23.25" customHeight="1">
      <c r="A5" s="4" t="s">
        <v>544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545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637</v>
      </c>
      <c r="F7" s="3" t="s">
        <v>552</v>
      </c>
      <c r="G7" s="3" t="s">
        <v>553</v>
      </c>
      <c r="H7" s="55"/>
    </row>
    <row r="8" spans="1:8">
      <c r="A8" s="58" t="s">
        <v>116</v>
      </c>
      <c r="B8" s="59" t="s">
        <v>792</v>
      </c>
      <c r="C8" s="59" t="s">
        <v>793</v>
      </c>
      <c r="D8" s="48" t="s">
        <v>18</v>
      </c>
      <c r="E8" s="59" t="s">
        <v>7</v>
      </c>
      <c r="F8" s="59" t="s">
        <v>17</v>
      </c>
      <c r="G8" s="59" t="s">
        <v>18</v>
      </c>
      <c r="H8" s="55" t="s">
        <v>117</v>
      </c>
    </row>
    <row r="9" spans="1:8">
      <c r="A9" s="58" t="s">
        <v>794</v>
      </c>
      <c r="B9" s="59" t="s">
        <v>795</v>
      </c>
      <c r="C9" s="59" t="s">
        <v>660</v>
      </c>
      <c r="D9" s="48" t="s">
        <v>796</v>
      </c>
      <c r="E9" s="59" t="s">
        <v>7</v>
      </c>
      <c r="F9" s="59" t="s">
        <v>17</v>
      </c>
      <c r="G9" s="59" t="s">
        <v>796</v>
      </c>
      <c r="H9" s="55" t="s">
        <v>797</v>
      </c>
    </row>
    <row r="10" spans="1:8">
      <c r="A10" s="56" t="s">
        <v>798</v>
      </c>
      <c r="B10" s="57" t="s">
        <v>799</v>
      </c>
      <c r="C10" s="57" t="s">
        <v>800</v>
      </c>
      <c r="D10" s="72" t="s">
        <v>796</v>
      </c>
      <c r="E10" s="57" t="s">
        <v>801</v>
      </c>
      <c r="F10" s="57" t="s">
        <v>17</v>
      </c>
      <c r="G10" s="57" t="s">
        <v>796</v>
      </c>
      <c r="H10" s="104" t="s">
        <v>802</v>
      </c>
    </row>
    <row r="11" spans="1:8">
      <c r="A11" s="56" t="s">
        <v>803</v>
      </c>
      <c r="B11" s="57" t="s">
        <v>804</v>
      </c>
      <c r="C11" s="57" t="s">
        <v>805</v>
      </c>
      <c r="D11" s="72" t="s">
        <v>796</v>
      </c>
      <c r="E11" s="57" t="s">
        <v>801</v>
      </c>
      <c r="F11" s="57" t="s">
        <v>17</v>
      </c>
      <c r="G11" s="57" t="s">
        <v>796</v>
      </c>
      <c r="H11" s="104" t="s">
        <v>806</v>
      </c>
    </row>
    <row r="12" spans="1:8">
      <c r="A12" s="58" t="s">
        <v>120</v>
      </c>
      <c r="B12" s="59" t="s">
        <v>807</v>
      </c>
      <c r="C12" s="59" t="s">
        <v>85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122</v>
      </c>
    </row>
    <row r="13" spans="1:8">
      <c r="A13" s="58" t="s">
        <v>123</v>
      </c>
      <c r="B13" s="59" t="s">
        <v>808</v>
      </c>
      <c r="C13" s="59" t="s">
        <v>85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124</v>
      </c>
    </row>
    <row r="14" spans="1:8">
      <c r="A14" s="58" t="s">
        <v>125</v>
      </c>
      <c r="B14" s="59" t="s">
        <v>809</v>
      </c>
      <c r="C14" s="59" t="s">
        <v>85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127</v>
      </c>
    </row>
    <row r="15" spans="1:8">
      <c r="A15" s="58" t="s">
        <v>128</v>
      </c>
      <c r="B15" s="59" t="s">
        <v>810</v>
      </c>
      <c r="C15" s="59" t="s">
        <v>85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130</v>
      </c>
    </row>
    <row r="16" spans="1:8">
      <c r="A16" s="58" t="s">
        <v>811</v>
      </c>
      <c r="B16" s="59" t="s">
        <v>812</v>
      </c>
      <c r="C16" s="59" t="s">
        <v>85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813</v>
      </c>
    </row>
    <row r="17" spans="1:8">
      <c r="A17" s="58" t="s">
        <v>814</v>
      </c>
      <c r="B17" s="59" t="s">
        <v>815</v>
      </c>
      <c r="C17" s="59" t="s">
        <v>85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816</v>
      </c>
    </row>
    <row r="18" spans="1:8">
      <c r="A18" s="58" t="s">
        <v>132</v>
      </c>
      <c r="B18" s="59" t="s">
        <v>817</v>
      </c>
      <c r="C18" s="59" t="s">
        <v>85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347</v>
      </c>
    </row>
    <row r="19" spans="1:8">
      <c r="A19" s="58" t="s">
        <v>818</v>
      </c>
      <c r="B19" s="59" t="s">
        <v>819</v>
      </c>
      <c r="C19" s="59" t="s">
        <v>820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821</v>
      </c>
    </row>
    <row r="20" spans="1:8">
      <c r="A20" s="58" t="s">
        <v>822</v>
      </c>
      <c r="B20" s="59" t="s">
        <v>823</v>
      </c>
      <c r="C20" s="59" t="s">
        <v>820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824</v>
      </c>
    </row>
    <row r="21" spans="1:8">
      <c r="A21" s="58" t="s">
        <v>825</v>
      </c>
      <c r="B21" s="59" t="s">
        <v>826</v>
      </c>
      <c r="C21" s="59" t="s">
        <v>827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828</v>
      </c>
    </row>
    <row r="22" spans="1:8">
      <c r="A22" s="56" t="s">
        <v>829</v>
      </c>
      <c r="B22" s="57" t="s">
        <v>830</v>
      </c>
      <c r="C22" s="57" t="s">
        <v>831</v>
      </c>
      <c r="D22" s="72" t="s">
        <v>18</v>
      </c>
      <c r="E22" s="57" t="s">
        <v>7</v>
      </c>
      <c r="F22" s="57" t="s">
        <v>17</v>
      </c>
      <c r="G22" s="57" t="s">
        <v>18</v>
      </c>
      <c r="H22" s="104" t="s">
        <v>832</v>
      </c>
    </row>
    <row r="23" spans="1:8">
      <c r="A23" s="58" t="s">
        <v>833</v>
      </c>
      <c r="B23" s="59" t="s">
        <v>1150</v>
      </c>
      <c r="C23" s="59" t="s">
        <v>645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834</v>
      </c>
    </row>
    <row r="24" spans="1:8">
      <c r="A24" s="58" t="s">
        <v>835</v>
      </c>
      <c r="B24" s="59" t="s">
        <v>836</v>
      </c>
      <c r="C24" s="59" t="s">
        <v>837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386</v>
      </c>
    </row>
    <row r="25" spans="1:8">
      <c r="A25" s="58" t="s">
        <v>387</v>
      </c>
      <c r="B25" s="59" t="s">
        <v>838</v>
      </c>
      <c r="C25" s="59" t="s">
        <v>85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388</v>
      </c>
    </row>
    <row r="26" spans="1:8">
      <c r="A26" s="58" t="s">
        <v>389</v>
      </c>
      <c r="B26" s="59" t="s">
        <v>839</v>
      </c>
      <c r="C26" s="59" t="s">
        <v>390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391</v>
      </c>
    </row>
    <row r="27" spans="1:8">
      <c r="A27" s="58" t="s">
        <v>840</v>
      </c>
      <c r="B27" s="59" t="s">
        <v>841</v>
      </c>
      <c r="C27" s="59" t="s">
        <v>645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842</v>
      </c>
    </row>
    <row r="28" spans="1:8">
      <c r="A28" s="58" t="s">
        <v>137</v>
      </c>
      <c r="B28" s="59" t="s">
        <v>843</v>
      </c>
      <c r="C28" s="59" t="s">
        <v>844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138</v>
      </c>
    </row>
    <row r="29" spans="1:8">
      <c r="A29" s="58" t="s">
        <v>139</v>
      </c>
      <c r="B29" s="59" t="s">
        <v>845</v>
      </c>
      <c r="C29" s="59" t="s">
        <v>39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140</v>
      </c>
    </row>
    <row r="30" spans="1:8">
      <c r="A30" s="58" t="s">
        <v>141</v>
      </c>
      <c r="B30" s="59" t="s">
        <v>846</v>
      </c>
      <c r="C30" s="59" t="s">
        <v>85</v>
      </c>
      <c r="D30" s="48" t="s">
        <v>18</v>
      </c>
      <c r="E30" s="59" t="s">
        <v>7</v>
      </c>
      <c r="F30" s="59" t="s">
        <v>17</v>
      </c>
      <c r="G30" s="59" t="s">
        <v>18</v>
      </c>
      <c r="H30" s="55" t="s">
        <v>142</v>
      </c>
    </row>
    <row r="31" spans="1:8">
      <c r="A31" s="58" t="s">
        <v>143</v>
      </c>
      <c r="B31" s="59" t="s">
        <v>847</v>
      </c>
      <c r="C31" s="59" t="s">
        <v>85</v>
      </c>
      <c r="D31" s="48" t="s">
        <v>18</v>
      </c>
      <c r="E31" s="59" t="s">
        <v>7</v>
      </c>
      <c r="F31" s="59" t="s">
        <v>17</v>
      </c>
      <c r="G31" s="59" t="s">
        <v>18</v>
      </c>
      <c r="H31" s="55" t="s">
        <v>144</v>
      </c>
    </row>
    <row r="32" spans="1:8">
      <c r="A32" s="58" t="s">
        <v>145</v>
      </c>
      <c r="B32" s="59" t="s">
        <v>848</v>
      </c>
      <c r="C32" s="59" t="s">
        <v>85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146</v>
      </c>
    </row>
    <row r="33" spans="1:8">
      <c r="A33" s="58" t="s">
        <v>147</v>
      </c>
      <c r="B33" s="59" t="s">
        <v>849</v>
      </c>
      <c r="C33" s="59" t="s">
        <v>24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148</v>
      </c>
    </row>
    <row r="34" spans="1:8">
      <c r="A34" s="58" t="s">
        <v>850</v>
      </c>
      <c r="B34" s="59" t="s">
        <v>851</v>
      </c>
      <c r="C34" s="59" t="s">
        <v>852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853</v>
      </c>
    </row>
    <row r="35" spans="1:8">
      <c r="A35" s="58" t="s">
        <v>149</v>
      </c>
      <c r="B35" s="59" t="s">
        <v>854</v>
      </c>
      <c r="C35" s="59" t="s">
        <v>85</v>
      </c>
      <c r="D35" s="48" t="s">
        <v>855</v>
      </c>
      <c r="E35" s="59" t="s">
        <v>7</v>
      </c>
      <c r="F35" s="59" t="s">
        <v>17</v>
      </c>
      <c r="G35" s="59" t="s">
        <v>18</v>
      </c>
      <c r="H35" s="55" t="s">
        <v>392</v>
      </c>
    </row>
    <row r="36" spans="1:8">
      <c r="A36" s="58" t="s">
        <v>149</v>
      </c>
      <c r="B36" s="59" t="s">
        <v>854</v>
      </c>
      <c r="C36" s="59" t="s">
        <v>856</v>
      </c>
      <c r="D36" s="48" t="s">
        <v>796</v>
      </c>
      <c r="E36" s="59" t="s">
        <v>7</v>
      </c>
      <c r="F36" s="59" t="s">
        <v>17</v>
      </c>
      <c r="G36" s="59" t="s">
        <v>18</v>
      </c>
      <c r="H36" s="105" t="s">
        <v>857</v>
      </c>
    </row>
  </sheetData>
  <phoneticPr fontId="14" type="noConversion"/>
  <dataValidations count="3">
    <dataValidation type="list" allowBlank="1" showInputMessage="1" sqref="E27 E33:E36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19"/>
  <sheetViews>
    <sheetView zoomScaleNormal="100" workbookViewId="0">
      <selection activeCell="E29" sqref="E29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1.44140625" style="55" customWidth="1"/>
    <col min="4" max="4" width="9.77734375" style="50" customWidth="1"/>
    <col min="5" max="5" width="13.44140625" style="5" customWidth="1"/>
    <col min="6" max="6" width="5.88671875" style="5" bestFit="1" customWidth="1"/>
    <col min="7" max="7" width="9" style="5" bestFit="1" customWidth="1"/>
    <col min="8" max="8" width="8.44140625" style="5" customWidth="1"/>
    <col min="9" max="16384" width="8.88671875" style="5"/>
  </cols>
  <sheetData>
    <row r="1" spans="1:8">
      <c r="A1" s="1" t="s">
        <v>537</v>
      </c>
      <c r="B1" s="53" t="s">
        <v>393</v>
      </c>
      <c r="C1" s="54" t="s">
        <v>791</v>
      </c>
      <c r="D1" s="54"/>
      <c r="E1" s="55"/>
      <c r="F1" s="55"/>
      <c r="G1" s="55"/>
      <c r="H1" s="55"/>
    </row>
    <row r="2" spans="1:8">
      <c r="A2" s="1" t="s">
        <v>540</v>
      </c>
      <c r="B2" s="53" t="s">
        <v>858</v>
      </c>
      <c r="C2" s="100"/>
      <c r="D2" s="55"/>
      <c r="E2" s="55"/>
      <c r="F2" s="55"/>
      <c r="G2" s="55"/>
      <c r="H2" s="55"/>
    </row>
    <row r="3" spans="1:8">
      <c r="A3" s="2" t="s">
        <v>542</v>
      </c>
      <c r="B3" s="12">
        <v>1</v>
      </c>
      <c r="C3" s="100"/>
      <c r="D3" s="55"/>
      <c r="E3" s="55"/>
      <c r="F3" s="55"/>
      <c r="G3" s="55"/>
      <c r="H3" s="55"/>
    </row>
    <row r="4" spans="1:8">
      <c r="A4" s="2" t="s">
        <v>543</v>
      </c>
      <c r="B4" s="12">
        <v>10</v>
      </c>
      <c r="C4" s="100"/>
      <c r="D4" s="55"/>
      <c r="E4" s="55"/>
      <c r="F4" s="55"/>
      <c r="G4" s="55"/>
      <c r="H4" s="55"/>
    </row>
    <row r="5" spans="1:8" ht="22.5">
      <c r="A5" s="4" t="s">
        <v>544</v>
      </c>
      <c r="B5" s="12" t="s">
        <v>15</v>
      </c>
      <c r="C5" s="100"/>
      <c r="D5" s="55"/>
      <c r="E5" s="55"/>
      <c r="F5" s="55"/>
      <c r="G5" s="55"/>
      <c r="H5" s="55"/>
    </row>
    <row r="6" spans="1:8" ht="22.5">
      <c r="A6" s="4" t="s">
        <v>545</v>
      </c>
      <c r="B6" s="12" t="s">
        <v>15</v>
      </c>
      <c r="C6" s="100"/>
      <c r="D6" s="55"/>
      <c r="E6" s="55"/>
      <c r="F6" s="55"/>
      <c r="G6" s="55"/>
      <c r="H6" s="55"/>
    </row>
    <row r="7" spans="1:8" ht="33.75">
      <c r="A7" s="51" t="s">
        <v>547</v>
      </c>
      <c r="B7" s="51" t="s">
        <v>548</v>
      </c>
      <c r="C7" s="51" t="s">
        <v>1347</v>
      </c>
      <c r="D7" s="3" t="s">
        <v>549</v>
      </c>
      <c r="E7" s="3" t="s">
        <v>550</v>
      </c>
      <c r="F7" s="51" t="s">
        <v>637</v>
      </c>
      <c r="G7" s="3" t="s">
        <v>552</v>
      </c>
      <c r="H7" s="3" t="s">
        <v>553</v>
      </c>
    </row>
    <row r="8" spans="1:8">
      <c r="A8" s="58" t="s">
        <v>348</v>
      </c>
      <c r="B8" s="59" t="s">
        <v>349</v>
      </c>
      <c r="C8" s="59"/>
      <c r="D8" s="59" t="s">
        <v>24</v>
      </c>
      <c r="E8" s="52" t="s">
        <v>796</v>
      </c>
      <c r="F8" s="59" t="s">
        <v>7</v>
      </c>
      <c r="G8" s="59" t="s">
        <v>17</v>
      </c>
      <c r="H8" s="59" t="s">
        <v>18</v>
      </c>
    </row>
    <row r="9" spans="1:8">
      <c r="A9" s="58" t="s">
        <v>350</v>
      </c>
      <c r="B9" s="59" t="s">
        <v>263</v>
      </c>
      <c r="C9" s="59"/>
      <c r="D9" s="59" t="s">
        <v>24</v>
      </c>
      <c r="E9" s="52" t="s">
        <v>796</v>
      </c>
      <c r="F9" s="59" t="s">
        <v>7</v>
      </c>
      <c r="G9" s="59" t="s">
        <v>20</v>
      </c>
      <c r="H9" s="59" t="s">
        <v>18</v>
      </c>
    </row>
    <row r="10" spans="1:8">
      <c r="A10" s="56" t="s">
        <v>867</v>
      </c>
      <c r="B10" s="57" t="s">
        <v>264</v>
      </c>
      <c r="C10" s="57" t="s">
        <v>859</v>
      </c>
      <c r="D10" s="57" t="s">
        <v>483</v>
      </c>
      <c r="E10" s="106" t="s">
        <v>18</v>
      </c>
      <c r="F10" s="57" t="s">
        <v>7</v>
      </c>
      <c r="G10" s="57" t="s">
        <v>17</v>
      </c>
      <c r="H10" s="57" t="s">
        <v>18</v>
      </c>
    </row>
    <row r="11" spans="1:8" s="55" customFormat="1">
      <c r="A11" s="56"/>
      <c r="B11" s="57"/>
      <c r="C11" s="57" t="s">
        <v>860</v>
      </c>
      <c r="D11" s="57" t="s">
        <v>864</v>
      </c>
      <c r="E11" s="106" t="s">
        <v>18</v>
      </c>
      <c r="F11" s="57" t="s">
        <v>7</v>
      </c>
      <c r="G11" s="57" t="s">
        <v>17</v>
      </c>
      <c r="H11" s="57" t="s">
        <v>18</v>
      </c>
    </row>
    <row r="12" spans="1:8" s="55" customFormat="1">
      <c r="A12" s="56"/>
      <c r="B12" s="57"/>
      <c r="C12" s="57" t="s">
        <v>861</v>
      </c>
      <c r="D12" s="57" t="s">
        <v>865</v>
      </c>
      <c r="E12" s="106" t="s">
        <v>18</v>
      </c>
      <c r="F12" s="57" t="s">
        <v>7</v>
      </c>
      <c r="G12" s="57" t="s">
        <v>17</v>
      </c>
      <c r="H12" s="57" t="s">
        <v>18</v>
      </c>
    </row>
    <row r="13" spans="1:8" s="55" customFormat="1">
      <c r="A13" s="56"/>
      <c r="B13" s="57"/>
      <c r="C13" s="57" t="s">
        <v>862</v>
      </c>
      <c r="D13" s="57" t="s">
        <v>205</v>
      </c>
      <c r="E13" s="106" t="s">
        <v>18</v>
      </c>
      <c r="F13" s="57" t="s">
        <v>7</v>
      </c>
      <c r="G13" s="57" t="s">
        <v>17</v>
      </c>
      <c r="H13" s="57" t="s">
        <v>18</v>
      </c>
    </row>
    <row r="14" spans="1:8" s="55" customFormat="1">
      <c r="A14" s="56"/>
      <c r="B14" s="57"/>
      <c r="C14" s="57" t="s">
        <v>863</v>
      </c>
      <c r="D14" s="57" t="s">
        <v>866</v>
      </c>
      <c r="E14" s="106" t="s">
        <v>18</v>
      </c>
      <c r="F14" s="57" t="s">
        <v>7</v>
      </c>
      <c r="G14" s="57" t="s">
        <v>17</v>
      </c>
      <c r="H14" s="57" t="s">
        <v>18</v>
      </c>
    </row>
    <row r="15" spans="1:8" s="55" customFormat="1">
      <c r="A15" s="56"/>
      <c r="B15" s="57"/>
      <c r="C15" s="57" t="s">
        <v>868</v>
      </c>
      <c r="D15" s="57" t="s">
        <v>871</v>
      </c>
      <c r="E15" s="106" t="s">
        <v>18</v>
      </c>
      <c r="F15" s="57" t="s">
        <v>7</v>
      </c>
      <c r="G15" s="57" t="s">
        <v>17</v>
      </c>
      <c r="H15" s="57" t="s">
        <v>18</v>
      </c>
    </row>
    <row r="16" spans="1:8" s="55" customFormat="1">
      <c r="A16" s="56"/>
      <c r="B16" s="57"/>
      <c r="C16" s="57" t="s">
        <v>869</v>
      </c>
      <c r="D16" s="57" t="s">
        <v>872</v>
      </c>
      <c r="E16" s="106" t="s">
        <v>18</v>
      </c>
      <c r="F16" s="57" t="s">
        <v>7</v>
      </c>
      <c r="G16" s="57" t="s">
        <v>17</v>
      </c>
      <c r="H16" s="57" t="s">
        <v>18</v>
      </c>
    </row>
    <row r="17" spans="1:8" s="55" customFormat="1">
      <c r="A17" s="56"/>
      <c r="B17" s="57"/>
      <c r="C17" s="57" t="s">
        <v>870</v>
      </c>
      <c r="D17" s="57" t="s">
        <v>873</v>
      </c>
      <c r="E17" s="106" t="s">
        <v>18</v>
      </c>
      <c r="F17" s="57" t="s">
        <v>7</v>
      </c>
      <c r="G17" s="57" t="s">
        <v>17</v>
      </c>
      <c r="H17" s="57" t="s">
        <v>18</v>
      </c>
    </row>
    <row r="18" spans="1:8">
      <c r="A18" s="58" t="s">
        <v>351</v>
      </c>
      <c r="B18" s="59" t="s">
        <v>266</v>
      </c>
      <c r="C18" s="59"/>
      <c r="D18" s="59" t="s">
        <v>24</v>
      </c>
      <c r="E18" s="52" t="s">
        <v>18</v>
      </c>
      <c r="F18" s="59" t="s">
        <v>7</v>
      </c>
      <c r="G18" s="59" t="s">
        <v>17</v>
      </c>
      <c r="H18" s="59" t="s">
        <v>18</v>
      </c>
    </row>
    <row r="19" spans="1:8">
      <c r="A19" s="58" t="s">
        <v>352</v>
      </c>
      <c r="B19" s="59" t="s">
        <v>269</v>
      </c>
      <c r="C19" s="59"/>
      <c r="D19" s="59" t="s">
        <v>24</v>
      </c>
      <c r="E19" s="52" t="s">
        <v>18</v>
      </c>
      <c r="F19" s="59" t="s">
        <v>7</v>
      </c>
      <c r="G19" s="59" t="s">
        <v>17</v>
      </c>
      <c r="H19" s="59" t="s">
        <v>18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G7"/>
  <sheetViews>
    <sheetView workbookViewId="0">
      <selection activeCell="K37" sqref="K37"/>
    </sheetView>
  </sheetViews>
  <sheetFormatPr defaultColWidth="8.88671875" defaultRowHeight="12"/>
  <cols>
    <col min="1" max="1" width="14.109375" style="55" customWidth="1"/>
    <col min="2" max="2" width="9.5546875" style="55" bestFit="1" customWidth="1"/>
    <col min="3" max="3" width="13.44140625" style="55" customWidth="1"/>
    <col min="4" max="4" width="5.88671875" style="55" bestFit="1" customWidth="1"/>
    <col min="5" max="5" width="9" style="55" bestFit="1" customWidth="1"/>
    <col min="6" max="6" width="8.44140625" style="55" customWidth="1"/>
    <col min="7" max="7" width="8.6640625" style="55" customWidth="1"/>
    <col min="8" max="16384" width="8.88671875" style="55"/>
  </cols>
  <sheetData>
    <row r="1" spans="1:7">
      <c r="A1" s="1" t="s">
        <v>537</v>
      </c>
      <c r="B1" s="53" t="s">
        <v>1326</v>
      </c>
      <c r="C1" s="54" t="s">
        <v>1327</v>
      </c>
    </row>
    <row r="2" spans="1:7">
      <c r="A2" s="1" t="s">
        <v>540</v>
      </c>
      <c r="B2" s="53" t="s">
        <v>1328</v>
      </c>
    </row>
    <row r="3" spans="1:7">
      <c r="A3" s="2" t="s">
        <v>1329</v>
      </c>
      <c r="B3" s="12">
        <v>1</v>
      </c>
    </row>
    <row r="4" spans="1:7">
      <c r="A4" s="2" t="s">
        <v>543</v>
      </c>
      <c r="B4" s="12">
        <v>11</v>
      </c>
    </row>
    <row r="5" spans="1:7" ht="23.25" customHeight="1">
      <c r="A5" s="4" t="s">
        <v>619</v>
      </c>
      <c r="B5" s="12" t="s">
        <v>15</v>
      </c>
    </row>
    <row r="6" spans="1:7" ht="22.5">
      <c r="A6" s="4" t="s">
        <v>1330</v>
      </c>
      <c r="B6" s="12" t="s">
        <v>15</v>
      </c>
    </row>
    <row r="7" spans="1:7" ht="33.75">
      <c r="A7" s="51" t="s">
        <v>2</v>
      </c>
      <c r="B7" s="51" t="s">
        <v>1331</v>
      </c>
      <c r="C7" s="3" t="s">
        <v>549</v>
      </c>
      <c r="D7" s="3" t="s">
        <v>550</v>
      </c>
      <c r="E7" s="51" t="s">
        <v>1332</v>
      </c>
      <c r="F7" s="3" t="s">
        <v>628</v>
      </c>
      <c r="G7" s="3" t="s">
        <v>629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O135"/>
  <sheetViews>
    <sheetView zoomScaleNormal="100" workbookViewId="0">
      <selection activeCell="B4" sqref="B4"/>
    </sheetView>
  </sheetViews>
  <sheetFormatPr defaultColWidth="8.88671875" defaultRowHeight="12"/>
  <cols>
    <col min="1" max="1" width="13.6640625" style="5" bestFit="1" customWidth="1"/>
    <col min="2" max="3" width="10.77734375" style="5" bestFit="1" customWidth="1"/>
    <col min="4" max="4" width="5.33203125" style="5" bestFit="1" customWidth="1"/>
    <col min="5" max="5" width="4" style="5" bestFit="1" customWidth="1"/>
    <col min="6" max="6" width="4.6640625" style="5" bestFit="1" customWidth="1"/>
    <col min="7" max="7" width="5.33203125" style="5" bestFit="1" customWidth="1"/>
    <col min="8" max="8" width="4" style="5" bestFit="1" customWidth="1"/>
    <col min="9" max="10" width="4.6640625" style="5" bestFit="1" customWidth="1"/>
    <col min="11" max="11" width="10" style="5" bestFit="1" customWidth="1"/>
    <col min="12" max="13" width="8" style="5" bestFit="1" customWidth="1"/>
    <col min="14" max="14" width="6.21875" style="5" customWidth="1"/>
    <col min="15" max="15" width="29.5546875" style="5" bestFit="1" customWidth="1"/>
    <col min="16" max="16384" width="8.88671875" style="5"/>
  </cols>
  <sheetData>
    <row r="1" spans="1:15" ht="15.75">
      <c r="A1" s="1" t="s">
        <v>537</v>
      </c>
      <c r="B1" s="53" t="s">
        <v>889</v>
      </c>
      <c r="C1" s="54" t="s">
        <v>890</v>
      </c>
      <c r="D1" s="55"/>
      <c r="E1" s="55"/>
      <c r="F1" s="55"/>
      <c r="G1" s="55"/>
      <c r="H1" s="55"/>
      <c r="J1" s="6"/>
      <c r="K1" s="6"/>
      <c r="L1" s="6"/>
    </row>
    <row r="2" spans="1:15" ht="15.75">
      <c r="A2" s="1" t="s">
        <v>540</v>
      </c>
      <c r="B2" s="53" t="s">
        <v>891</v>
      </c>
      <c r="C2" s="55"/>
      <c r="D2" s="55"/>
      <c r="E2" s="55"/>
      <c r="F2" s="55"/>
      <c r="G2" s="55"/>
      <c r="H2" s="55"/>
      <c r="J2" s="6"/>
      <c r="K2" s="6"/>
      <c r="L2" s="6"/>
    </row>
    <row r="3" spans="1:15" ht="15.75">
      <c r="A3" s="2" t="s">
        <v>542</v>
      </c>
      <c r="B3" s="12">
        <v>1</v>
      </c>
      <c r="C3" s="55"/>
      <c r="D3" s="55"/>
      <c r="E3" s="55"/>
      <c r="F3" s="55"/>
      <c r="G3" s="55"/>
      <c r="H3" s="55"/>
      <c r="J3" s="6"/>
      <c r="K3" s="6"/>
      <c r="L3" s="6"/>
    </row>
    <row r="4" spans="1:15" ht="15.75">
      <c r="A4" s="2" t="s">
        <v>543</v>
      </c>
      <c r="B4" s="12">
        <v>12</v>
      </c>
      <c r="C4" s="55"/>
      <c r="D4" s="55"/>
      <c r="E4" s="55"/>
      <c r="F4" s="55"/>
      <c r="G4" s="55"/>
      <c r="H4" s="55"/>
      <c r="J4" s="6"/>
      <c r="K4" s="6"/>
      <c r="L4" s="6"/>
    </row>
    <row r="5" spans="1:15" ht="23.25" customHeight="1">
      <c r="A5" s="4" t="s">
        <v>544</v>
      </c>
      <c r="B5" s="12" t="s">
        <v>15</v>
      </c>
      <c r="C5" s="107" t="s">
        <v>892</v>
      </c>
      <c r="D5" s="53" t="s">
        <v>893</v>
      </c>
      <c r="E5" s="55"/>
      <c r="F5" s="55"/>
      <c r="G5" s="55"/>
      <c r="H5" s="55"/>
      <c r="J5" s="6"/>
      <c r="K5" s="6"/>
      <c r="L5" s="6"/>
    </row>
    <row r="6" spans="1:15" ht="23.25" thickBot="1">
      <c r="A6" s="4" t="s">
        <v>545</v>
      </c>
      <c r="B6" s="12" t="s">
        <v>15</v>
      </c>
      <c r="C6" s="55"/>
      <c r="D6" s="55"/>
      <c r="E6" s="55"/>
      <c r="F6" s="55"/>
      <c r="G6" s="55"/>
      <c r="H6" s="55"/>
      <c r="I6" s="9"/>
      <c r="J6" s="9"/>
      <c r="O6" s="84" t="s">
        <v>362</v>
      </c>
    </row>
    <row r="7" spans="1:15" ht="33.75">
      <c r="A7" s="15" t="s">
        <v>439</v>
      </c>
      <c r="B7" s="16" t="s">
        <v>445</v>
      </c>
      <c r="C7" s="17" t="s">
        <v>989</v>
      </c>
      <c r="D7" s="123" t="s">
        <v>447</v>
      </c>
      <c r="E7" s="124"/>
      <c r="F7" s="125"/>
      <c r="G7" s="124" t="s">
        <v>448</v>
      </c>
      <c r="H7" s="124"/>
      <c r="I7" s="125"/>
      <c r="J7" s="18" t="s">
        <v>440</v>
      </c>
      <c r="K7" s="15" t="s">
        <v>441</v>
      </c>
      <c r="L7" s="19" t="s">
        <v>442</v>
      </c>
      <c r="M7" s="19" t="s">
        <v>443</v>
      </c>
      <c r="N7" s="66" t="s">
        <v>894</v>
      </c>
      <c r="O7" s="21" t="s">
        <v>1317</v>
      </c>
    </row>
    <row r="8" spans="1:15" ht="22.5">
      <c r="A8" s="15"/>
      <c r="B8" s="16"/>
      <c r="C8" s="24"/>
      <c r="D8" s="22" t="s">
        <v>449</v>
      </c>
      <c r="E8" s="19" t="s">
        <v>450</v>
      </c>
      <c r="F8" s="23" t="s">
        <v>451</v>
      </c>
      <c r="G8" s="15" t="s">
        <v>449</v>
      </c>
      <c r="H8" s="19" t="s">
        <v>450</v>
      </c>
      <c r="I8" s="23" t="s">
        <v>452</v>
      </c>
      <c r="J8" s="18"/>
      <c r="K8" s="15"/>
      <c r="L8" s="19"/>
      <c r="M8" s="19"/>
      <c r="N8" s="20"/>
      <c r="O8" s="21"/>
    </row>
    <row r="9" spans="1:15">
      <c r="A9" s="63" t="s">
        <v>394</v>
      </c>
      <c r="B9" s="64" t="s">
        <v>895</v>
      </c>
      <c r="C9" s="27" t="s">
        <v>936</v>
      </c>
      <c r="D9" s="28" t="s">
        <v>987</v>
      </c>
      <c r="E9" s="29" t="s">
        <v>986</v>
      </c>
      <c r="F9" s="30" t="s">
        <v>940</v>
      </c>
      <c r="G9" s="28" t="s">
        <v>987</v>
      </c>
      <c r="H9" s="29" t="s">
        <v>986</v>
      </c>
      <c r="I9" s="30" t="s">
        <v>940</v>
      </c>
      <c r="J9" s="31" t="s">
        <v>18</v>
      </c>
      <c r="K9" s="29" t="s">
        <v>7</v>
      </c>
      <c r="L9" s="29" t="s">
        <v>946</v>
      </c>
      <c r="M9" s="29" t="s">
        <v>18</v>
      </c>
      <c r="N9" s="13" t="s">
        <v>947</v>
      </c>
      <c r="O9" s="14" t="s">
        <v>936</v>
      </c>
    </row>
    <row r="10" spans="1:15">
      <c r="A10" s="63" t="s">
        <v>395</v>
      </c>
      <c r="B10" s="63" t="s">
        <v>645</v>
      </c>
      <c r="C10" s="27" t="s">
        <v>927</v>
      </c>
      <c r="D10" s="28" t="s">
        <v>987</v>
      </c>
      <c r="E10" s="29" t="s">
        <v>986</v>
      </c>
      <c r="F10" s="32" t="s">
        <v>940</v>
      </c>
      <c r="G10" s="28" t="s">
        <v>987</v>
      </c>
      <c r="H10" s="29" t="s">
        <v>986</v>
      </c>
      <c r="I10" s="32" t="s">
        <v>940</v>
      </c>
      <c r="J10" s="31" t="s">
        <v>18</v>
      </c>
      <c r="K10" s="29" t="s">
        <v>7</v>
      </c>
      <c r="L10" s="29" t="s">
        <v>946</v>
      </c>
      <c r="M10" s="29" t="s">
        <v>18</v>
      </c>
      <c r="N10" s="13" t="s">
        <v>948</v>
      </c>
      <c r="O10" s="14" t="s">
        <v>927</v>
      </c>
    </row>
    <row r="11" spans="1:15">
      <c r="A11" s="63" t="s">
        <v>396</v>
      </c>
      <c r="B11" s="63" t="s">
        <v>896</v>
      </c>
      <c r="C11" s="27" t="s">
        <v>928</v>
      </c>
      <c r="D11" s="28" t="s">
        <v>987</v>
      </c>
      <c r="E11" s="29" t="s">
        <v>986</v>
      </c>
      <c r="F11" s="30" t="s">
        <v>940</v>
      </c>
      <c r="G11" s="28" t="s">
        <v>987</v>
      </c>
      <c r="H11" s="29" t="s">
        <v>986</v>
      </c>
      <c r="I11" s="30" t="s">
        <v>940</v>
      </c>
      <c r="J11" s="34" t="s">
        <v>18</v>
      </c>
      <c r="K11" s="25" t="s">
        <v>7</v>
      </c>
      <c r="L11" s="29" t="s">
        <v>946</v>
      </c>
      <c r="M11" s="25" t="s">
        <v>18</v>
      </c>
      <c r="N11" s="13" t="s">
        <v>949</v>
      </c>
      <c r="O11" s="14" t="s">
        <v>928</v>
      </c>
    </row>
    <row r="12" spans="1:15">
      <c r="A12" s="63" t="s">
        <v>397</v>
      </c>
      <c r="B12" s="63" t="s">
        <v>180</v>
      </c>
      <c r="C12" s="27" t="s">
        <v>929</v>
      </c>
      <c r="D12" s="28" t="s">
        <v>987</v>
      </c>
      <c r="E12" s="29" t="s">
        <v>986</v>
      </c>
      <c r="F12" s="32" t="s">
        <v>940</v>
      </c>
      <c r="G12" s="28" t="s">
        <v>987</v>
      </c>
      <c r="H12" s="29" t="s">
        <v>986</v>
      </c>
      <c r="I12" s="32" t="s">
        <v>940</v>
      </c>
      <c r="J12" s="34" t="s">
        <v>18</v>
      </c>
      <c r="K12" s="25" t="s">
        <v>7</v>
      </c>
      <c r="L12" s="29" t="s">
        <v>946</v>
      </c>
      <c r="M12" s="25" t="s">
        <v>18</v>
      </c>
      <c r="N12" s="13" t="s">
        <v>950</v>
      </c>
      <c r="O12" s="14" t="s">
        <v>929</v>
      </c>
    </row>
    <row r="13" spans="1:15">
      <c r="A13" s="63" t="s">
        <v>398</v>
      </c>
      <c r="B13" s="63" t="s">
        <v>399</v>
      </c>
      <c r="C13" s="27" t="s">
        <v>930</v>
      </c>
      <c r="D13" s="28" t="s">
        <v>987</v>
      </c>
      <c r="E13" s="29" t="s">
        <v>986</v>
      </c>
      <c r="F13" s="30" t="s">
        <v>940</v>
      </c>
      <c r="G13" s="28" t="s">
        <v>987</v>
      </c>
      <c r="H13" s="29" t="s">
        <v>986</v>
      </c>
      <c r="I13" s="30" t="s">
        <v>940</v>
      </c>
      <c r="J13" s="34" t="s">
        <v>18</v>
      </c>
      <c r="K13" s="25" t="s">
        <v>7</v>
      </c>
      <c r="L13" s="29" t="s">
        <v>946</v>
      </c>
      <c r="M13" s="25" t="s">
        <v>18</v>
      </c>
      <c r="N13" s="13" t="s">
        <v>951</v>
      </c>
      <c r="O13" s="14" t="s">
        <v>930</v>
      </c>
    </row>
    <row r="14" spans="1:15">
      <c r="A14" s="63" t="s">
        <v>400</v>
      </c>
      <c r="B14" s="63" t="s">
        <v>191</v>
      </c>
      <c r="C14" s="27" t="s">
        <v>931</v>
      </c>
      <c r="D14" s="28" t="s">
        <v>987</v>
      </c>
      <c r="E14" s="29" t="s">
        <v>986</v>
      </c>
      <c r="F14" s="32" t="s">
        <v>940</v>
      </c>
      <c r="G14" s="28" t="s">
        <v>987</v>
      </c>
      <c r="H14" s="29" t="s">
        <v>986</v>
      </c>
      <c r="I14" s="32" t="s">
        <v>940</v>
      </c>
      <c r="J14" s="34" t="s">
        <v>18</v>
      </c>
      <c r="K14" s="25" t="s">
        <v>7</v>
      </c>
      <c r="L14" s="29" t="s">
        <v>946</v>
      </c>
      <c r="M14" s="25" t="s">
        <v>18</v>
      </c>
      <c r="N14" s="13" t="s">
        <v>952</v>
      </c>
      <c r="O14" s="14" t="s">
        <v>931</v>
      </c>
    </row>
    <row r="15" spans="1:15">
      <c r="A15" s="63" t="s">
        <v>401</v>
      </c>
      <c r="B15" s="63" t="s">
        <v>174</v>
      </c>
      <c r="C15" s="27" t="s">
        <v>932</v>
      </c>
      <c r="D15" s="28" t="s">
        <v>987</v>
      </c>
      <c r="E15" s="29" t="s">
        <v>986</v>
      </c>
      <c r="F15" s="30" t="s">
        <v>940</v>
      </c>
      <c r="G15" s="28" t="s">
        <v>987</v>
      </c>
      <c r="H15" s="29" t="s">
        <v>986</v>
      </c>
      <c r="I15" s="30" t="s">
        <v>940</v>
      </c>
      <c r="J15" s="34" t="s">
        <v>18</v>
      </c>
      <c r="K15" s="25" t="s">
        <v>7</v>
      </c>
      <c r="L15" s="29" t="s">
        <v>946</v>
      </c>
      <c r="M15" s="25" t="s">
        <v>18</v>
      </c>
      <c r="N15" s="13" t="s">
        <v>953</v>
      </c>
      <c r="O15" s="14" t="s">
        <v>1142</v>
      </c>
    </row>
    <row r="16" spans="1:15">
      <c r="A16" s="63" t="s">
        <v>402</v>
      </c>
      <c r="B16" s="63" t="s">
        <v>403</v>
      </c>
      <c r="C16" s="27" t="s">
        <v>933</v>
      </c>
      <c r="D16" s="28" t="s">
        <v>987</v>
      </c>
      <c r="E16" s="29" t="s">
        <v>986</v>
      </c>
      <c r="F16" s="32" t="s">
        <v>940</v>
      </c>
      <c r="G16" s="28" t="s">
        <v>987</v>
      </c>
      <c r="H16" s="29" t="s">
        <v>986</v>
      </c>
      <c r="I16" s="32" t="s">
        <v>940</v>
      </c>
      <c r="J16" s="34" t="s">
        <v>18</v>
      </c>
      <c r="K16" s="25" t="s">
        <v>7</v>
      </c>
      <c r="L16" s="29" t="s">
        <v>946</v>
      </c>
      <c r="M16" s="25" t="s">
        <v>18</v>
      </c>
      <c r="N16" s="13" t="s">
        <v>954</v>
      </c>
      <c r="O16" s="14" t="s">
        <v>933</v>
      </c>
    </row>
    <row r="17" spans="1:15">
      <c r="A17" s="63" t="s">
        <v>897</v>
      </c>
      <c r="B17" s="63" t="s">
        <v>136</v>
      </c>
      <c r="C17" s="27" t="s">
        <v>937</v>
      </c>
      <c r="D17" s="28" t="s">
        <v>987</v>
      </c>
      <c r="E17" s="29" t="s">
        <v>986</v>
      </c>
      <c r="F17" s="30" t="s">
        <v>941</v>
      </c>
      <c r="G17" s="28" t="s">
        <v>990</v>
      </c>
      <c r="H17" s="29" t="s">
        <v>986</v>
      </c>
      <c r="I17" s="30" t="s">
        <v>991</v>
      </c>
      <c r="J17" s="34" t="s">
        <v>18</v>
      </c>
      <c r="K17" s="25" t="s">
        <v>7</v>
      </c>
      <c r="L17" s="29" t="s">
        <v>946</v>
      </c>
      <c r="M17" s="25" t="s">
        <v>18</v>
      </c>
      <c r="N17" s="13" t="s">
        <v>955</v>
      </c>
      <c r="O17" s="14" t="s">
        <v>937</v>
      </c>
    </row>
    <row r="18" spans="1:15">
      <c r="A18" s="63" t="s">
        <v>406</v>
      </c>
      <c r="B18" s="63" t="s">
        <v>354</v>
      </c>
      <c r="C18" s="27" t="s">
        <v>938</v>
      </c>
      <c r="D18" s="28" t="s">
        <v>987</v>
      </c>
      <c r="E18" s="29" t="s">
        <v>986</v>
      </c>
      <c r="F18" s="32" t="s">
        <v>941</v>
      </c>
      <c r="G18" s="28" t="s">
        <v>990</v>
      </c>
      <c r="H18" s="29" t="s">
        <v>986</v>
      </c>
      <c r="I18" s="32" t="s">
        <v>991</v>
      </c>
      <c r="J18" s="34" t="s">
        <v>18</v>
      </c>
      <c r="K18" s="25" t="s">
        <v>7</v>
      </c>
      <c r="L18" s="29" t="s">
        <v>946</v>
      </c>
      <c r="M18" s="25" t="s">
        <v>18</v>
      </c>
      <c r="N18" s="13" t="s">
        <v>956</v>
      </c>
      <c r="O18" s="14" t="s">
        <v>938</v>
      </c>
    </row>
    <row r="19" spans="1:15">
      <c r="A19" s="63" t="s">
        <v>408</v>
      </c>
      <c r="B19" s="63" t="s">
        <v>355</v>
      </c>
      <c r="C19" s="27" t="s">
        <v>939</v>
      </c>
      <c r="D19" s="28" t="s">
        <v>992</v>
      </c>
      <c r="E19" s="29" t="s">
        <v>986</v>
      </c>
      <c r="F19" s="30" t="s">
        <v>942</v>
      </c>
      <c r="G19" s="28" t="s">
        <v>992</v>
      </c>
      <c r="H19" s="29" t="s">
        <v>986</v>
      </c>
      <c r="I19" s="30" t="s">
        <v>942</v>
      </c>
      <c r="J19" s="34" t="s">
        <v>18</v>
      </c>
      <c r="K19" s="25" t="s">
        <v>7</v>
      </c>
      <c r="L19" s="29" t="s">
        <v>946</v>
      </c>
      <c r="M19" s="25" t="s">
        <v>18</v>
      </c>
      <c r="N19" s="13" t="s">
        <v>957</v>
      </c>
      <c r="O19" s="14" t="s">
        <v>939</v>
      </c>
    </row>
    <row r="20" spans="1:15">
      <c r="A20" s="63" t="s">
        <v>409</v>
      </c>
      <c r="B20" s="63" t="s">
        <v>410</v>
      </c>
      <c r="C20" s="27" t="s">
        <v>453</v>
      </c>
      <c r="D20" s="28" t="s">
        <v>993</v>
      </c>
      <c r="E20" s="29" t="s">
        <v>986</v>
      </c>
      <c r="F20" s="32" t="s">
        <v>943</v>
      </c>
      <c r="G20" s="28" t="s">
        <v>994</v>
      </c>
      <c r="H20" s="29" t="s">
        <v>986</v>
      </c>
      <c r="I20" s="32" t="s">
        <v>995</v>
      </c>
      <c r="J20" s="34" t="s">
        <v>18</v>
      </c>
      <c r="K20" s="25" t="s">
        <v>7</v>
      </c>
      <c r="L20" s="29" t="s">
        <v>946</v>
      </c>
      <c r="M20" s="25" t="s">
        <v>18</v>
      </c>
      <c r="N20" s="13" t="s">
        <v>958</v>
      </c>
      <c r="O20" s="14" t="s">
        <v>453</v>
      </c>
    </row>
    <row r="21" spans="1:15">
      <c r="A21" s="63" t="s">
        <v>411</v>
      </c>
      <c r="B21" s="63" t="s">
        <v>176</v>
      </c>
      <c r="C21" s="27" t="s">
        <v>454</v>
      </c>
      <c r="D21" s="28" t="s">
        <v>992</v>
      </c>
      <c r="E21" s="29" t="s">
        <v>986</v>
      </c>
      <c r="F21" s="30" t="s">
        <v>942</v>
      </c>
      <c r="G21" s="28" t="s">
        <v>993</v>
      </c>
      <c r="H21" s="29" t="s">
        <v>986</v>
      </c>
      <c r="I21" s="32" t="s">
        <v>943</v>
      </c>
      <c r="J21" s="34" t="s">
        <v>18</v>
      </c>
      <c r="K21" s="25" t="s">
        <v>7</v>
      </c>
      <c r="L21" s="29" t="s">
        <v>946</v>
      </c>
      <c r="M21" s="25" t="s">
        <v>18</v>
      </c>
      <c r="N21" s="13" t="s">
        <v>959</v>
      </c>
      <c r="O21" s="14" t="s">
        <v>454</v>
      </c>
    </row>
    <row r="22" spans="1:15">
      <c r="A22" s="63" t="s">
        <v>412</v>
      </c>
      <c r="B22" s="63" t="s">
        <v>151</v>
      </c>
      <c r="C22" s="27" t="s">
        <v>455</v>
      </c>
      <c r="D22" s="28" t="s">
        <v>992</v>
      </c>
      <c r="E22" s="29" t="s">
        <v>986</v>
      </c>
      <c r="F22" s="32" t="s">
        <v>942</v>
      </c>
      <c r="G22" s="28" t="s">
        <v>993</v>
      </c>
      <c r="H22" s="29" t="s">
        <v>986</v>
      </c>
      <c r="I22" s="32" t="s">
        <v>943</v>
      </c>
      <c r="J22" s="34" t="s">
        <v>18</v>
      </c>
      <c r="K22" s="25" t="s">
        <v>7</v>
      </c>
      <c r="L22" s="29" t="s">
        <v>946</v>
      </c>
      <c r="M22" s="25" t="s">
        <v>18</v>
      </c>
      <c r="N22" s="13" t="s">
        <v>960</v>
      </c>
      <c r="O22" s="14" t="s">
        <v>455</v>
      </c>
    </row>
    <row r="23" spans="1:15">
      <c r="A23" s="63" t="s">
        <v>413</v>
      </c>
      <c r="B23" s="63" t="s">
        <v>168</v>
      </c>
      <c r="C23" s="27" t="s">
        <v>456</v>
      </c>
      <c r="D23" s="28" t="s">
        <v>992</v>
      </c>
      <c r="E23" s="29" t="s">
        <v>986</v>
      </c>
      <c r="F23" s="30" t="s">
        <v>942</v>
      </c>
      <c r="G23" s="28" t="s">
        <v>992</v>
      </c>
      <c r="H23" s="29" t="s">
        <v>986</v>
      </c>
      <c r="I23" s="30" t="s">
        <v>942</v>
      </c>
      <c r="J23" s="34" t="s">
        <v>18</v>
      </c>
      <c r="K23" s="25" t="s">
        <v>7</v>
      </c>
      <c r="L23" s="29" t="s">
        <v>946</v>
      </c>
      <c r="M23" s="25" t="s">
        <v>18</v>
      </c>
      <c r="N23" s="13" t="s">
        <v>961</v>
      </c>
      <c r="O23" s="14" t="s">
        <v>456</v>
      </c>
    </row>
    <row r="24" spans="1:15" s="55" customFormat="1">
      <c r="A24" s="63"/>
      <c r="B24" s="63"/>
      <c r="C24" s="27" t="s">
        <v>1038</v>
      </c>
      <c r="D24" s="28" t="s">
        <v>992</v>
      </c>
      <c r="E24" s="29" t="s">
        <v>986</v>
      </c>
      <c r="F24" s="30" t="s">
        <v>1097</v>
      </c>
      <c r="G24" s="28" t="s">
        <v>992</v>
      </c>
      <c r="H24" s="29" t="s">
        <v>986</v>
      </c>
      <c r="I24" s="30" t="s">
        <v>1097</v>
      </c>
      <c r="J24" s="34" t="s">
        <v>18</v>
      </c>
      <c r="K24" s="25" t="s">
        <v>7</v>
      </c>
      <c r="L24" s="29" t="s">
        <v>946</v>
      </c>
      <c r="M24" s="25" t="s">
        <v>18</v>
      </c>
      <c r="N24" s="13"/>
      <c r="O24" s="14"/>
    </row>
    <row r="25" spans="1:15" s="55" customFormat="1">
      <c r="A25" s="63"/>
      <c r="B25" s="63"/>
      <c r="C25" s="27" t="s">
        <v>1039</v>
      </c>
      <c r="D25" s="28" t="s">
        <v>992</v>
      </c>
      <c r="E25" s="29" t="s">
        <v>986</v>
      </c>
      <c r="F25" s="30" t="s">
        <v>1098</v>
      </c>
      <c r="G25" s="28" t="s">
        <v>992</v>
      </c>
      <c r="H25" s="29" t="s">
        <v>986</v>
      </c>
      <c r="I25" s="30" t="s">
        <v>1098</v>
      </c>
      <c r="J25" s="34" t="s">
        <v>18</v>
      </c>
      <c r="K25" s="25" t="s">
        <v>7</v>
      </c>
      <c r="L25" s="29" t="s">
        <v>946</v>
      </c>
      <c r="M25" s="25" t="s">
        <v>18</v>
      </c>
      <c r="N25" s="13"/>
      <c r="O25" s="14"/>
    </row>
    <row r="26" spans="1:15" s="55" customFormat="1">
      <c r="A26" s="63"/>
      <c r="B26" s="63"/>
      <c r="C26" s="27" t="s">
        <v>1040</v>
      </c>
      <c r="D26" s="28" t="s">
        <v>992</v>
      </c>
      <c r="E26" s="29" t="s">
        <v>986</v>
      </c>
      <c r="F26" s="30" t="s">
        <v>1099</v>
      </c>
      <c r="G26" s="28" t="s">
        <v>992</v>
      </c>
      <c r="H26" s="29" t="s">
        <v>986</v>
      </c>
      <c r="I26" s="30" t="s">
        <v>1099</v>
      </c>
      <c r="J26" s="34" t="s">
        <v>18</v>
      </c>
      <c r="K26" s="25" t="s">
        <v>7</v>
      </c>
      <c r="L26" s="29" t="s">
        <v>946</v>
      </c>
      <c r="M26" s="25" t="s">
        <v>18</v>
      </c>
      <c r="N26" s="13"/>
      <c r="O26" s="14"/>
    </row>
    <row r="27" spans="1:15">
      <c r="A27" s="63" t="s">
        <v>414</v>
      </c>
      <c r="B27" s="63" t="s">
        <v>415</v>
      </c>
      <c r="C27" s="27" t="s">
        <v>457</v>
      </c>
      <c r="D27" s="28" t="s">
        <v>992</v>
      </c>
      <c r="E27" s="29" t="s">
        <v>986</v>
      </c>
      <c r="F27" s="32" t="s">
        <v>942</v>
      </c>
      <c r="G27" s="28" t="s">
        <v>992</v>
      </c>
      <c r="H27" s="29" t="s">
        <v>986</v>
      </c>
      <c r="I27" s="32" t="s">
        <v>942</v>
      </c>
      <c r="J27" s="34" t="s">
        <v>18</v>
      </c>
      <c r="K27" s="25" t="s">
        <v>7</v>
      </c>
      <c r="L27" s="29" t="s">
        <v>946</v>
      </c>
      <c r="M27" s="25" t="s">
        <v>18</v>
      </c>
      <c r="N27" s="13" t="s">
        <v>962</v>
      </c>
      <c r="O27" s="14" t="s">
        <v>457</v>
      </c>
    </row>
    <row r="28" spans="1:15" s="55" customFormat="1">
      <c r="A28" s="63"/>
      <c r="B28" s="63"/>
      <c r="C28" s="27" t="s">
        <v>1044</v>
      </c>
      <c r="D28" s="28" t="s">
        <v>992</v>
      </c>
      <c r="E28" s="29" t="s">
        <v>986</v>
      </c>
      <c r="F28" s="30" t="s">
        <v>1097</v>
      </c>
      <c r="G28" s="28" t="s">
        <v>992</v>
      </c>
      <c r="H28" s="29" t="s">
        <v>986</v>
      </c>
      <c r="I28" s="30" t="s">
        <v>1097</v>
      </c>
      <c r="J28" s="34" t="s">
        <v>18</v>
      </c>
      <c r="K28" s="25" t="s">
        <v>7</v>
      </c>
      <c r="L28" s="29" t="s">
        <v>946</v>
      </c>
      <c r="M28" s="25" t="s">
        <v>18</v>
      </c>
      <c r="N28" s="13"/>
      <c r="O28" s="14"/>
    </row>
    <row r="29" spans="1:15" s="55" customFormat="1">
      <c r="A29" s="63"/>
      <c r="B29" s="63"/>
      <c r="C29" s="27" t="s">
        <v>1041</v>
      </c>
      <c r="D29" s="28" t="s">
        <v>992</v>
      </c>
      <c r="E29" s="29" t="s">
        <v>986</v>
      </c>
      <c r="F29" s="30" t="s">
        <v>1098</v>
      </c>
      <c r="G29" s="28" t="s">
        <v>992</v>
      </c>
      <c r="H29" s="29" t="s">
        <v>986</v>
      </c>
      <c r="I29" s="30" t="s">
        <v>1098</v>
      </c>
      <c r="J29" s="34" t="s">
        <v>18</v>
      </c>
      <c r="K29" s="25" t="s">
        <v>7</v>
      </c>
      <c r="L29" s="29" t="s">
        <v>946</v>
      </c>
      <c r="M29" s="25" t="s">
        <v>18</v>
      </c>
      <c r="N29" s="13"/>
      <c r="O29" s="14"/>
    </row>
    <row r="30" spans="1:15" s="55" customFormat="1">
      <c r="A30" s="63"/>
      <c r="B30" s="63"/>
      <c r="C30" s="27" t="s">
        <v>1042</v>
      </c>
      <c r="D30" s="28" t="s">
        <v>992</v>
      </c>
      <c r="E30" s="29" t="s">
        <v>986</v>
      </c>
      <c r="F30" s="30" t="s">
        <v>1099</v>
      </c>
      <c r="G30" s="28" t="s">
        <v>993</v>
      </c>
      <c r="H30" s="29" t="s">
        <v>986</v>
      </c>
      <c r="I30" s="30" t="s">
        <v>1100</v>
      </c>
      <c r="J30" s="34" t="s">
        <v>18</v>
      </c>
      <c r="K30" s="25" t="s">
        <v>7</v>
      </c>
      <c r="L30" s="29" t="s">
        <v>946</v>
      </c>
      <c r="M30" s="25" t="s">
        <v>18</v>
      </c>
      <c r="N30" s="13"/>
      <c r="O30" s="14"/>
    </row>
    <row r="31" spans="1:15" s="55" customFormat="1">
      <c r="A31" s="63"/>
      <c r="B31" s="63"/>
      <c r="C31" s="27" t="s">
        <v>1043</v>
      </c>
      <c r="D31" s="28" t="s">
        <v>992</v>
      </c>
      <c r="E31" s="29" t="s">
        <v>986</v>
      </c>
      <c r="F31" s="30" t="s">
        <v>1101</v>
      </c>
      <c r="G31" s="28" t="s">
        <v>992</v>
      </c>
      <c r="H31" s="29" t="s">
        <v>986</v>
      </c>
      <c r="I31" s="30" t="s">
        <v>1101</v>
      </c>
      <c r="J31" s="34" t="s">
        <v>18</v>
      </c>
      <c r="K31" s="25" t="s">
        <v>7</v>
      </c>
      <c r="L31" s="29" t="s">
        <v>946</v>
      </c>
      <c r="M31" s="25" t="s">
        <v>18</v>
      </c>
      <c r="N31" s="13"/>
      <c r="O31" s="14"/>
    </row>
    <row r="32" spans="1:15">
      <c r="A32" s="63" t="s">
        <v>416</v>
      </c>
      <c r="B32" s="63" t="s">
        <v>177</v>
      </c>
      <c r="C32" s="35" t="s">
        <v>458</v>
      </c>
      <c r="D32" s="28" t="s">
        <v>992</v>
      </c>
      <c r="E32" s="29" t="s">
        <v>986</v>
      </c>
      <c r="F32" s="36" t="s">
        <v>942</v>
      </c>
      <c r="G32" s="28" t="s">
        <v>992</v>
      </c>
      <c r="H32" s="29" t="s">
        <v>986</v>
      </c>
      <c r="I32" s="36" t="s">
        <v>942</v>
      </c>
      <c r="J32" s="34" t="s">
        <v>18</v>
      </c>
      <c r="K32" s="25" t="s">
        <v>7</v>
      </c>
      <c r="L32" s="29" t="s">
        <v>946</v>
      </c>
      <c r="M32" s="25" t="s">
        <v>18</v>
      </c>
      <c r="N32" s="13" t="s">
        <v>963</v>
      </c>
      <c r="O32" s="14" t="s">
        <v>458</v>
      </c>
    </row>
    <row r="33" spans="1:15" s="55" customFormat="1">
      <c r="A33" s="63"/>
      <c r="B33" s="63"/>
      <c r="C33" s="27" t="s">
        <v>1045</v>
      </c>
      <c r="D33" s="28" t="s">
        <v>992</v>
      </c>
      <c r="E33" s="29" t="s">
        <v>986</v>
      </c>
      <c r="F33" s="30" t="s">
        <v>1097</v>
      </c>
      <c r="G33" s="28" t="s">
        <v>992</v>
      </c>
      <c r="H33" s="29" t="s">
        <v>986</v>
      </c>
      <c r="I33" s="30" t="s">
        <v>1097</v>
      </c>
      <c r="J33" s="34" t="s">
        <v>18</v>
      </c>
      <c r="K33" s="25" t="s">
        <v>7</v>
      </c>
      <c r="L33" s="29" t="s">
        <v>946</v>
      </c>
      <c r="M33" s="25" t="s">
        <v>18</v>
      </c>
      <c r="N33" s="13"/>
      <c r="O33" s="14"/>
    </row>
    <row r="34" spans="1:15" s="55" customFormat="1">
      <c r="A34" s="63"/>
      <c r="B34" s="63"/>
      <c r="C34" s="27" t="s">
        <v>1050</v>
      </c>
      <c r="D34" s="28" t="s">
        <v>992</v>
      </c>
      <c r="E34" s="29" t="s">
        <v>986</v>
      </c>
      <c r="F34" s="30" t="s">
        <v>1098</v>
      </c>
      <c r="G34" s="28" t="s">
        <v>992</v>
      </c>
      <c r="H34" s="29" t="s">
        <v>986</v>
      </c>
      <c r="I34" s="30" t="s">
        <v>1098</v>
      </c>
      <c r="J34" s="34" t="s">
        <v>18</v>
      </c>
      <c r="K34" s="25" t="s">
        <v>7</v>
      </c>
      <c r="L34" s="29" t="s">
        <v>946</v>
      </c>
      <c r="M34" s="25" t="s">
        <v>18</v>
      </c>
      <c r="N34" s="13"/>
      <c r="O34" s="14"/>
    </row>
    <row r="35" spans="1:15" s="55" customFormat="1">
      <c r="A35" s="63"/>
      <c r="B35" s="63"/>
      <c r="C35" s="27" t="s">
        <v>1053</v>
      </c>
      <c r="D35" s="28" t="s">
        <v>992</v>
      </c>
      <c r="E35" s="29" t="s">
        <v>986</v>
      </c>
      <c r="F35" s="30" t="s">
        <v>1099</v>
      </c>
      <c r="G35" s="28" t="s">
        <v>1033</v>
      </c>
      <c r="H35" s="29" t="s">
        <v>986</v>
      </c>
      <c r="I35" s="30" t="s">
        <v>1099</v>
      </c>
      <c r="J35" s="34" t="s">
        <v>18</v>
      </c>
      <c r="K35" s="25" t="s">
        <v>7</v>
      </c>
      <c r="L35" s="29" t="s">
        <v>946</v>
      </c>
      <c r="M35" s="25" t="s">
        <v>18</v>
      </c>
      <c r="N35" s="13"/>
      <c r="O35" s="14"/>
    </row>
    <row r="36" spans="1:15" s="55" customFormat="1">
      <c r="A36" s="63"/>
      <c r="B36" s="63"/>
      <c r="C36" s="27" t="s">
        <v>1054</v>
      </c>
      <c r="D36" s="28" t="s">
        <v>992</v>
      </c>
      <c r="E36" s="29" t="s">
        <v>986</v>
      </c>
      <c r="F36" s="30" t="s">
        <v>1101</v>
      </c>
      <c r="G36" s="28" t="s">
        <v>992</v>
      </c>
      <c r="H36" s="29" t="s">
        <v>986</v>
      </c>
      <c r="I36" s="30" t="s">
        <v>1101</v>
      </c>
      <c r="J36" s="34" t="s">
        <v>18</v>
      </c>
      <c r="K36" s="25" t="s">
        <v>7</v>
      </c>
      <c r="L36" s="29" t="s">
        <v>946</v>
      </c>
      <c r="M36" s="25" t="s">
        <v>18</v>
      </c>
      <c r="N36" s="13"/>
      <c r="O36" s="14"/>
    </row>
    <row r="37" spans="1:15">
      <c r="A37" s="63" t="s">
        <v>417</v>
      </c>
      <c r="B37" s="63" t="s">
        <v>346</v>
      </c>
      <c r="C37" s="35" t="s">
        <v>459</v>
      </c>
      <c r="D37" s="28" t="s">
        <v>992</v>
      </c>
      <c r="E37" s="29" t="s">
        <v>986</v>
      </c>
      <c r="F37" s="36" t="s">
        <v>942</v>
      </c>
      <c r="G37" s="28" t="s">
        <v>993</v>
      </c>
      <c r="H37" s="29" t="s">
        <v>986</v>
      </c>
      <c r="I37" s="32" t="s">
        <v>943</v>
      </c>
      <c r="J37" s="34" t="s">
        <v>18</v>
      </c>
      <c r="K37" s="25" t="s">
        <v>7</v>
      </c>
      <c r="L37" s="29" t="s">
        <v>946</v>
      </c>
      <c r="M37" s="25" t="s">
        <v>18</v>
      </c>
      <c r="N37" s="13" t="s">
        <v>964</v>
      </c>
      <c r="O37" s="14" t="s">
        <v>459</v>
      </c>
    </row>
    <row r="38" spans="1:15" s="55" customFormat="1">
      <c r="A38" s="63"/>
      <c r="B38" s="63"/>
      <c r="C38" s="27" t="s">
        <v>1046</v>
      </c>
      <c r="D38" s="28" t="s">
        <v>992</v>
      </c>
      <c r="E38" s="29" t="s">
        <v>986</v>
      </c>
      <c r="F38" s="30" t="s">
        <v>1097</v>
      </c>
      <c r="G38" s="28" t="s">
        <v>992</v>
      </c>
      <c r="H38" s="29" t="s">
        <v>986</v>
      </c>
      <c r="I38" s="30" t="s">
        <v>1097</v>
      </c>
      <c r="J38" s="34" t="s">
        <v>18</v>
      </c>
      <c r="K38" s="25" t="s">
        <v>7</v>
      </c>
      <c r="L38" s="29" t="s">
        <v>946</v>
      </c>
      <c r="M38" s="25" t="s">
        <v>18</v>
      </c>
      <c r="N38" s="13"/>
      <c r="O38" s="14"/>
    </row>
    <row r="39" spans="1:15" s="55" customFormat="1">
      <c r="A39" s="63"/>
      <c r="B39" s="63"/>
      <c r="C39" s="27" t="s">
        <v>1049</v>
      </c>
      <c r="D39" s="28" t="s">
        <v>992</v>
      </c>
      <c r="E39" s="29" t="s">
        <v>986</v>
      </c>
      <c r="F39" s="30" t="s">
        <v>1098</v>
      </c>
      <c r="G39" s="28" t="s">
        <v>992</v>
      </c>
      <c r="H39" s="29" t="s">
        <v>986</v>
      </c>
      <c r="I39" s="30" t="s">
        <v>1098</v>
      </c>
      <c r="J39" s="34" t="s">
        <v>18</v>
      </c>
      <c r="K39" s="25" t="s">
        <v>7</v>
      </c>
      <c r="L39" s="29" t="s">
        <v>946</v>
      </c>
      <c r="M39" s="25" t="s">
        <v>18</v>
      </c>
      <c r="N39" s="13"/>
      <c r="O39" s="14"/>
    </row>
    <row r="40" spans="1:15" s="55" customFormat="1">
      <c r="A40" s="63"/>
      <c r="B40" s="63"/>
      <c r="C40" s="27" t="s">
        <v>1052</v>
      </c>
      <c r="D40" s="28" t="s">
        <v>992</v>
      </c>
      <c r="E40" s="29" t="s">
        <v>986</v>
      </c>
      <c r="F40" s="30" t="s">
        <v>1099</v>
      </c>
      <c r="G40" s="28" t="s">
        <v>993</v>
      </c>
      <c r="H40" s="29" t="s">
        <v>986</v>
      </c>
      <c r="I40" s="30" t="s">
        <v>1099</v>
      </c>
      <c r="J40" s="34" t="s">
        <v>18</v>
      </c>
      <c r="K40" s="25" t="s">
        <v>7</v>
      </c>
      <c r="L40" s="29" t="s">
        <v>946</v>
      </c>
      <c r="M40" s="25" t="s">
        <v>18</v>
      </c>
      <c r="N40" s="13"/>
      <c r="O40" s="14"/>
    </row>
    <row r="41" spans="1:15">
      <c r="A41" s="63" t="s">
        <v>418</v>
      </c>
      <c r="B41" s="63" t="s">
        <v>329</v>
      </c>
      <c r="C41" s="35" t="s">
        <v>460</v>
      </c>
      <c r="D41" s="28" t="s">
        <v>992</v>
      </c>
      <c r="E41" s="29" t="s">
        <v>986</v>
      </c>
      <c r="F41" s="36" t="s">
        <v>944</v>
      </c>
      <c r="G41" s="28" t="s">
        <v>992</v>
      </c>
      <c r="H41" s="29" t="s">
        <v>986</v>
      </c>
      <c r="I41" s="36" t="s">
        <v>944</v>
      </c>
      <c r="J41" s="34" t="s">
        <v>18</v>
      </c>
      <c r="K41" s="25" t="s">
        <v>7</v>
      </c>
      <c r="L41" s="29" t="s">
        <v>946</v>
      </c>
      <c r="M41" s="25" t="s">
        <v>18</v>
      </c>
      <c r="N41" s="13" t="s">
        <v>965</v>
      </c>
      <c r="O41" s="14" t="s">
        <v>460</v>
      </c>
    </row>
    <row r="42" spans="1:15" s="55" customFormat="1">
      <c r="A42" s="63"/>
      <c r="B42" s="63"/>
      <c r="C42" s="27" t="s">
        <v>1047</v>
      </c>
      <c r="D42" s="28" t="s">
        <v>992</v>
      </c>
      <c r="E42" s="29" t="s">
        <v>986</v>
      </c>
      <c r="F42" s="30" t="s">
        <v>1102</v>
      </c>
      <c r="G42" s="28" t="s">
        <v>992</v>
      </c>
      <c r="H42" s="29" t="s">
        <v>986</v>
      </c>
      <c r="I42" s="30" t="s">
        <v>1102</v>
      </c>
      <c r="J42" s="34" t="s">
        <v>18</v>
      </c>
      <c r="K42" s="25" t="s">
        <v>7</v>
      </c>
      <c r="L42" s="29" t="s">
        <v>946</v>
      </c>
      <c r="M42" s="25" t="s">
        <v>18</v>
      </c>
      <c r="N42" s="13"/>
      <c r="O42" s="14"/>
    </row>
    <row r="43" spans="1:15" s="55" customFormat="1">
      <c r="A43" s="63"/>
      <c r="B43" s="63"/>
      <c r="C43" s="27" t="s">
        <v>1048</v>
      </c>
      <c r="D43" s="28" t="s">
        <v>992</v>
      </c>
      <c r="E43" s="29" t="s">
        <v>986</v>
      </c>
      <c r="F43" s="30" t="s">
        <v>1103</v>
      </c>
      <c r="G43" s="28" t="s">
        <v>993</v>
      </c>
      <c r="H43" s="29" t="s">
        <v>986</v>
      </c>
      <c r="I43" s="30" t="s">
        <v>1104</v>
      </c>
      <c r="J43" s="34" t="s">
        <v>18</v>
      </c>
      <c r="K43" s="25" t="s">
        <v>7</v>
      </c>
      <c r="L43" s="29" t="s">
        <v>946</v>
      </c>
      <c r="M43" s="25" t="s">
        <v>18</v>
      </c>
      <c r="N43" s="13"/>
      <c r="O43" s="14"/>
    </row>
    <row r="44" spans="1:15" s="55" customFormat="1">
      <c r="A44" s="63"/>
      <c r="B44" s="63"/>
      <c r="C44" s="27" t="s">
        <v>1051</v>
      </c>
      <c r="D44" s="28" t="s">
        <v>992</v>
      </c>
      <c r="E44" s="29" t="s">
        <v>986</v>
      </c>
      <c r="F44" s="30" t="s">
        <v>1105</v>
      </c>
      <c r="G44" s="28" t="s">
        <v>1112</v>
      </c>
      <c r="H44" s="29" t="s">
        <v>986</v>
      </c>
      <c r="I44" s="30" t="s">
        <v>1105</v>
      </c>
      <c r="J44" s="34" t="s">
        <v>18</v>
      </c>
      <c r="K44" s="25" t="s">
        <v>7</v>
      </c>
      <c r="L44" s="29" t="s">
        <v>946</v>
      </c>
      <c r="M44" s="25" t="s">
        <v>18</v>
      </c>
      <c r="N44" s="13"/>
      <c r="O44" s="14"/>
    </row>
    <row r="45" spans="1:15">
      <c r="A45" s="63" t="s">
        <v>898</v>
      </c>
      <c r="B45" s="63" t="s">
        <v>220</v>
      </c>
      <c r="C45" s="35" t="s">
        <v>461</v>
      </c>
      <c r="D45" s="28" t="s">
        <v>992</v>
      </c>
      <c r="E45" s="29" t="s">
        <v>986</v>
      </c>
      <c r="F45" s="36" t="s">
        <v>945</v>
      </c>
      <c r="G45" s="28" t="s">
        <v>992</v>
      </c>
      <c r="H45" s="29" t="s">
        <v>986</v>
      </c>
      <c r="I45" s="36" t="s">
        <v>945</v>
      </c>
      <c r="J45" s="34" t="s">
        <v>18</v>
      </c>
      <c r="K45" s="25" t="s">
        <v>7</v>
      </c>
      <c r="L45" s="29" t="s">
        <v>946</v>
      </c>
      <c r="M45" s="25" t="s">
        <v>18</v>
      </c>
      <c r="N45" s="13" t="s">
        <v>966</v>
      </c>
      <c r="O45" s="14" t="s">
        <v>461</v>
      </c>
    </row>
    <row r="46" spans="1:15" s="55" customFormat="1">
      <c r="A46" s="63"/>
      <c r="B46" s="63"/>
      <c r="C46" s="27" t="s">
        <v>1055</v>
      </c>
      <c r="D46" s="28" t="s">
        <v>992</v>
      </c>
      <c r="E46" s="29" t="s">
        <v>986</v>
      </c>
      <c r="F46" s="36" t="s">
        <v>1098</v>
      </c>
      <c r="G46" s="28" t="s">
        <v>992</v>
      </c>
      <c r="H46" s="29" t="s">
        <v>986</v>
      </c>
      <c r="I46" s="36" t="s">
        <v>1098</v>
      </c>
      <c r="J46" s="34" t="s">
        <v>18</v>
      </c>
      <c r="K46" s="25" t="s">
        <v>7</v>
      </c>
      <c r="L46" s="29" t="s">
        <v>946</v>
      </c>
      <c r="M46" s="25" t="s">
        <v>18</v>
      </c>
      <c r="N46" s="13"/>
      <c r="O46" s="14"/>
    </row>
    <row r="47" spans="1:15" s="55" customFormat="1">
      <c r="A47" s="63"/>
      <c r="B47" s="63"/>
      <c r="C47" s="27" t="s">
        <v>1059</v>
      </c>
      <c r="D47" s="28" t="s">
        <v>992</v>
      </c>
      <c r="E47" s="29" t="s">
        <v>986</v>
      </c>
      <c r="F47" s="36" t="s">
        <v>942</v>
      </c>
      <c r="G47" s="28" t="s">
        <v>992</v>
      </c>
      <c r="H47" s="29" t="s">
        <v>986</v>
      </c>
      <c r="I47" s="36" t="s">
        <v>942</v>
      </c>
      <c r="J47" s="34" t="s">
        <v>18</v>
      </c>
      <c r="K47" s="25" t="s">
        <v>7</v>
      </c>
      <c r="L47" s="29" t="s">
        <v>946</v>
      </c>
      <c r="M47" s="25" t="s">
        <v>18</v>
      </c>
      <c r="N47" s="13"/>
      <c r="O47" s="14"/>
    </row>
    <row r="48" spans="1:15" s="55" customFormat="1">
      <c r="A48" s="63"/>
      <c r="B48" s="63"/>
      <c r="C48" s="27" t="s">
        <v>1064</v>
      </c>
      <c r="D48" s="28" t="s">
        <v>992</v>
      </c>
      <c r="E48" s="29" t="s">
        <v>986</v>
      </c>
      <c r="F48" s="36" t="s">
        <v>1096</v>
      </c>
      <c r="G48" s="28" t="s">
        <v>992</v>
      </c>
      <c r="H48" s="29" t="s">
        <v>986</v>
      </c>
      <c r="I48" s="36" t="s">
        <v>1096</v>
      </c>
      <c r="J48" s="34" t="s">
        <v>18</v>
      </c>
      <c r="K48" s="25" t="s">
        <v>7</v>
      </c>
      <c r="L48" s="29" t="s">
        <v>946</v>
      </c>
      <c r="M48" s="25" t="s">
        <v>18</v>
      </c>
      <c r="N48" s="13"/>
      <c r="O48" s="14"/>
    </row>
    <row r="49" spans="1:15" s="55" customFormat="1">
      <c r="A49" s="63"/>
      <c r="B49" s="63"/>
      <c r="C49" s="27" t="s">
        <v>1068</v>
      </c>
      <c r="D49" s="28" t="s">
        <v>992</v>
      </c>
      <c r="E49" s="29" t="s">
        <v>986</v>
      </c>
      <c r="F49" s="36" t="s">
        <v>1099</v>
      </c>
      <c r="G49" s="28" t="s">
        <v>992</v>
      </c>
      <c r="H49" s="29" t="s">
        <v>986</v>
      </c>
      <c r="I49" s="36" t="s">
        <v>1099</v>
      </c>
      <c r="J49" s="34" t="s">
        <v>18</v>
      </c>
      <c r="K49" s="25" t="s">
        <v>7</v>
      </c>
      <c r="L49" s="29" t="s">
        <v>946</v>
      </c>
      <c r="M49" s="25" t="s">
        <v>18</v>
      </c>
      <c r="N49" s="13"/>
      <c r="O49" s="14"/>
    </row>
    <row r="50" spans="1:15" s="55" customFormat="1">
      <c r="A50" s="63"/>
      <c r="B50" s="63"/>
      <c r="C50" s="27" t="s">
        <v>1072</v>
      </c>
      <c r="D50" s="28" t="s">
        <v>992</v>
      </c>
      <c r="E50" s="29" t="s">
        <v>986</v>
      </c>
      <c r="F50" s="30" t="s">
        <v>1106</v>
      </c>
      <c r="G50" s="28" t="s">
        <v>992</v>
      </c>
      <c r="H50" s="29" t="s">
        <v>986</v>
      </c>
      <c r="I50" s="30" t="s">
        <v>1106</v>
      </c>
      <c r="J50" s="34" t="s">
        <v>18</v>
      </c>
      <c r="K50" s="25" t="s">
        <v>7</v>
      </c>
      <c r="L50" s="29" t="s">
        <v>946</v>
      </c>
      <c r="M50" s="25" t="s">
        <v>18</v>
      </c>
      <c r="N50" s="13"/>
      <c r="O50" s="14"/>
    </row>
    <row r="51" spans="1:15" s="55" customFormat="1">
      <c r="A51" s="63"/>
      <c r="B51" s="63"/>
      <c r="C51" s="27" t="s">
        <v>1080</v>
      </c>
      <c r="D51" s="28" t="s">
        <v>992</v>
      </c>
      <c r="E51" s="29" t="s">
        <v>986</v>
      </c>
      <c r="F51" s="30" t="s">
        <v>1107</v>
      </c>
      <c r="G51" s="28" t="s">
        <v>992</v>
      </c>
      <c r="H51" s="29" t="s">
        <v>986</v>
      </c>
      <c r="I51" s="30" t="s">
        <v>1107</v>
      </c>
      <c r="J51" s="34" t="s">
        <v>18</v>
      </c>
      <c r="K51" s="25" t="s">
        <v>7</v>
      </c>
      <c r="L51" s="29" t="s">
        <v>946</v>
      </c>
      <c r="M51" s="25" t="s">
        <v>18</v>
      </c>
      <c r="N51" s="13"/>
      <c r="O51" s="14"/>
    </row>
    <row r="52" spans="1:15">
      <c r="A52" s="63" t="s">
        <v>419</v>
      </c>
      <c r="B52" s="63" t="s">
        <v>420</v>
      </c>
      <c r="C52" s="35" t="s">
        <v>462</v>
      </c>
      <c r="D52" s="28" t="s">
        <v>992</v>
      </c>
      <c r="E52" s="29" t="s">
        <v>986</v>
      </c>
      <c r="F52" s="36" t="s">
        <v>945</v>
      </c>
      <c r="G52" s="28" t="s">
        <v>992</v>
      </c>
      <c r="H52" s="29" t="s">
        <v>986</v>
      </c>
      <c r="I52" s="36" t="s">
        <v>945</v>
      </c>
      <c r="J52" s="34" t="s">
        <v>18</v>
      </c>
      <c r="K52" s="25" t="s">
        <v>7</v>
      </c>
      <c r="L52" s="29" t="s">
        <v>946</v>
      </c>
      <c r="M52" s="25" t="s">
        <v>18</v>
      </c>
      <c r="N52" s="13" t="s">
        <v>967</v>
      </c>
      <c r="O52" s="14" t="s">
        <v>462</v>
      </c>
    </row>
    <row r="53" spans="1:15" s="55" customFormat="1">
      <c r="A53" s="63"/>
      <c r="B53" s="63"/>
      <c r="C53" s="27" t="s">
        <v>1056</v>
      </c>
      <c r="D53" s="28" t="s">
        <v>992</v>
      </c>
      <c r="E53" s="29" t="s">
        <v>986</v>
      </c>
      <c r="F53" s="36" t="s">
        <v>1098</v>
      </c>
      <c r="G53" s="28" t="s">
        <v>992</v>
      </c>
      <c r="H53" s="29" t="s">
        <v>986</v>
      </c>
      <c r="I53" s="36" t="s">
        <v>1098</v>
      </c>
      <c r="J53" s="34" t="s">
        <v>18</v>
      </c>
      <c r="K53" s="25" t="s">
        <v>7</v>
      </c>
      <c r="L53" s="29" t="s">
        <v>946</v>
      </c>
      <c r="M53" s="25" t="s">
        <v>18</v>
      </c>
      <c r="N53" s="13"/>
      <c r="O53" s="14"/>
    </row>
    <row r="54" spans="1:15" s="55" customFormat="1">
      <c r="A54" s="63"/>
      <c r="B54" s="63"/>
      <c r="C54" s="27" t="s">
        <v>1060</v>
      </c>
      <c r="D54" s="28" t="s">
        <v>992</v>
      </c>
      <c r="E54" s="29" t="s">
        <v>986</v>
      </c>
      <c r="F54" s="36" t="s">
        <v>942</v>
      </c>
      <c r="G54" s="28" t="s">
        <v>992</v>
      </c>
      <c r="H54" s="29" t="s">
        <v>986</v>
      </c>
      <c r="I54" s="36" t="s">
        <v>942</v>
      </c>
      <c r="J54" s="34" t="s">
        <v>18</v>
      </c>
      <c r="K54" s="25" t="s">
        <v>7</v>
      </c>
      <c r="L54" s="29" t="s">
        <v>946</v>
      </c>
      <c r="M54" s="25" t="s">
        <v>18</v>
      </c>
      <c r="N54" s="13"/>
      <c r="O54" s="14"/>
    </row>
    <row r="55" spans="1:15" s="55" customFormat="1">
      <c r="A55" s="63"/>
      <c r="B55" s="63"/>
      <c r="C55" s="27" t="s">
        <v>1065</v>
      </c>
      <c r="D55" s="28" t="s">
        <v>992</v>
      </c>
      <c r="E55" s="29" t="s">
        <v>986</v>
      </c>
      <c r="F55" s="36" t="s">
        <v>1096</v>
      </c>
      <c r="G55" s="28" t="s">
        <v>1034</v>
      </c>
      <c r="H55" s="29" t="s">
        <v>986</v>
      </c>
      <c r="I55" s="36" t="s">
        <v>1110</v>
      </c>
      <c r="J55" s="34" t="s">
        <v>18</v>
      </c>
      <c r="K55" s="25" t="s">
        <v>7</v>
      </c>
      <c r="L55" s="29" t="s">
        <v>946</v>
      </c>
      <c r="M55" s="25" t="s">
        <v>18</v>
      </c>
      <c r="N55" s="13"/>
      <c r="O55" s="14"/>
    </row>
    <row r="56" spans="1:15" s="55" customFormat="1">
      <c r="A56" s="63"/>
      <c r="B56" s="63"/>
      <c r="C56" s="27" t="s">
        <v>1069</v>
      </c>
      <c r="D56" s="28" t="s">
        <v>993</v>
      </c>
      <c r="E56" s="29" t="s">
        <v>986</v>
      </c>
      <c r="F56" s="36" t="s">
        <v>1100</v>
      </c>
      <c r="G56" s="28" t="s">
        <v>994</v>
      </c>
      <c r="H56" s="29" t="s">
        <v>986</v>
      </c>
      <c r="I56" s="36" t="s">
        <v>1111</v>
      </c>
      <c r="J56" s="34" t="s">
        <v>18</v>
      </c>
      <c r="K56" s="25" t="s">
        <v>7</v>
      </c>
      <c r="L56" s="29" t="s">
        <v>946</v>
      </c>
      <c r="M56" s="25" t="s">
        <v>18</v>
      </c>
      <c r="N56" s="13"/>
      <c r="O56" s="14"/>
    </row>
    <row r="57" spans="1:15" s="55" customFormat="1">
      <c r="A57" s="63"/>
      <c r="B57" s="63"/>
      <c r="C57" s="27" t="s">
        <v>1073</v>
      </c>
      <c r="D57" s="28" t="s">
        <v>992</v>
      </c>
      <c r="E57" s="29" t="s">
        <v>986</v>
      </c>
      <c r="F57" s="30" t="s">
        <v>1106</v>
      </c>
      <c r="G57" s="28" t="s">
        <v>992</v>
      </c>
      <c r="H57" s="29" t="s">
        <v>986</v>
      </c>
      <c r="I57" s="30" t="s">
        <v>1106</v>
      </c>
      <c r="J57" s="34" t="s">
        <v>18</v>
      </c>
      <c r="K57" s="25" t="s">
        <v>7</v>
      </c>
      <c r="L57" s="29" t="s">
        <v>946</v>
      </c>
      <c r="M57" s="25" t="s">
        <v>18</v>
      </c>
      <c r="N57" s="13"/>
      <c r="O57" s="14"/>
    </row>
    <row r="58" spans="1:15" s="55" customFormat="1">
      <c r="A58" s="63"/>
      <c r="B58" s="63"/>
      <c r="C58" s="27" t="s">
        <v>1079</v>
      </c>
      <c r="D58" s="28" t="s">
        <v>992</v>
      </c>
      <c r="E58" s="29" t="s">
        <v>986</v>
      </c>
      <c r="F58" s="30" t="s">
        <v>1108</v>
      </c>
      <c r="G58" s="28" t="s">
        <v>992</v>
      </c>
      <c r="H58" s="29" t="s">
        <v>986</v>
      </c>
      <c r="I58" s="30" t="s">
        <v>1107</v>
      </c>
      <c r="J58" s="34" t="s">
        <v>18</v>
      </c>
      <c r="K58" s="25" t="s">
        <v>7</v>
      </c>
      <c r="L58" s="29" t="s">
        <v>946</v>
      </c>
      <c r="M58" s="25" t="s">
        <v>18</v>
      </c>
      <c r="N58" s="13"/>
      <c r="O58" s="14"/>
    </row>
    <row r="59" spans="1:15" s="55" customFormat="1">
      <c r="A59" s="63"/>
      <c r="B59" s="63"/>
      <c r="C59" s="27" t="s">
        <v>1082</v>
      </c>
      <c r="D59" s="28" t="s">
        <v>992</v>
      </c>
      <c r="E59" s="29" t="s">
        <v>986</v>
      </c>
      <c r="F59" s="30" t="s">
        <v>1109</v>
      </c>
      <c r="G59" s="28" t="s">
        <v>992</v>
      </c>
      <c r="H59" s="29" t="s">
        <v>986</v>
      </c>
      <c r="I59" s="30" t="s">
        <v>1109</v>
      </c>
      <c r="J59" s="34" t="s">
        <v>18</v>
      </c>
      <c r="K59" s="25" t="s">
        <v>7</v>
      </c>
      <c r="L59" s="29" t="s">
        <v>946</v>
      </c>
      <c r="M59" s="25" t="s">
        <v>18</v>
      </c>
      <c r="N59" s="13"/>
      <c r="O59" s="14"/>
    </row>
    <row r="60" spans="1:15">
      <c r="A60" s="63" t="s">
        <v>421</v>
      </c>
      <c r="B60" s="63" t="s">
        <v>118</v>
      </c>
      <c r="C60" s="35" t="s">
        <v>465</v>
      </c>
      <c r="D60" s="28" t="s">
        <v>992</v>
      </c>
      <c r="E60" s="29" t="s">
        <v>986</v>
      </c>
      <c r="F60" s="36" t="s">
        <v>945</v>
      </c>
      <c r="G60" s="28" t="s">
        <v>992</v>
      </c>
      <c r="H60" s="29" t="s">
        <v>986</v>
      </c>
      <c r="I60" s="36" t="s">
        <v>945</v>
      </c>
      <c r="J60" s="34" t="s">
        <v>18</v>
      </c>
      <c r="K60" s="25" t="s">
        <v>7</v>
      </c>
      <c r="L60" s="29" t="s">
        <v>946</v>
      </c>
      <c r="M60" s="25" t="s">
        <v>18</v>
      </c>
      <c r="N60" s="13" t="s">
        <v>968</v>
      </c>
      <c r="O60" s="14" t="s">
        <v>465</v>
      </c>
    </row>
    <row r="61" spans="1:15" s="55" customFormat="1">
      <c r="A61" s="63"/>
      <c r="B61" s="63"/>
      <c r="C61" s="27" t="s">
        <v>1057</v>
      </c>
      <c r="D61" s="28" t="s">
        <v>992</v>
      </c>
      <c r="E61" s="29" t="s">
        <v>986</v>
      </c>
      <c r="F61" s="36" t="s">
        <v>1098</v>
      </c>
      <c r="G61" s="28" t="s">
        <v>992</v>
      </c>
      <c r="H61" s="29" t="s">
        <v>986</v>
      </c>
      <c r="I61" s="36" t="s">
        <v>1098</v>
      </c>
      <c r="J61" s="34" t="s">
        <v>18</v>
      </c>
      <c r="K61" s="25" t="s">
        <v>7</v>
      </c>
      <c r="L61" s="29" t="s">
        <v>946</v>
      </c>
      <c r="M61" s="25" t="s">
        <v>18</v>
      </c>
      <c r="N61" s="13"/>
      <c r="O61" s="14"/>
    </row>
    <row r="62" spans="1:15" s="55" customFormat="1">
      <c r="A62" s="63"/>
      <c r="B62" s="63"/>
      <c r="C62" s="27" t="s">
        <v>1061</v>
      </c>
      <c r="D62" s="28" t="s">
        <v>992</v>
      </c>
      <c r="E62" s="29" t="s">
        <v>986</v>
      </c>
      <c r="F62" s="36" t="s">
        <v>942</v>
      </c>
      <c r="G62" s="28" t="s">
        <v>992</v>
      </c>
      <c r="H62" s="29" t="s">
        <v>986</v>
      </c>
      <c r="I62" s="36" t="s">
        <v>942</v>
      </c>
      <c r="J62" s="34" t="s">
        <v>18</v>
      </c>
      <c r="K62" s="25" t="s">
        <v>7</v>
      </c>
      <c r="L62" s="29" t="s">
        <v>946</v>
      </c>
      <c r="M62" s="25" t="s">
        <v>18</v>
      </c>
      <c r="N62" s="13"/>
      <c r="O62" s="14"/>
    </row>
    <row r="63" spans="1:15" s="55" customFormat="1">
      <c r="A63" s="63"/>
      <c r="B63" s="63"/>
      <c r="C63" s="27" t="s">
        <v>1066</v>
      </c>
      <c r="D63" s="28" t="s">
        <v>992</v>
      </c>
      <c r="E63" s="29" t="s">
        <v>986</v>
      </c>
      <c r="F63" s="36" t="s">
        <v>1096</v>
      </c>
      <c r="G63" s="28" t="s">
        <v>992</v>
      </c>
      <c r="H63" s="29" t="s">
        <v>986</v>
      </c>
      <c r="I63" s="36" t="s">
        <v>1097</v>
      </c>
      <c r="J63" s="34" t="s">
        <v>18</v>
      </c>
      <c r="K63" s="25" t="s">
        <v>7</v>
      </c>
      <c r="L63" s="29" t="s">
        <v>946</v>
      </c>
      <c r="M63" s="25" t="s">
        <v>18</v>
      </c>
      <c r="N63" s="13"/>
      <c r="O63" s="14"/>
    </row>
    <row r="64" spans="1:15" s="55" customFormat="1">
      <c r="A64" s="63"/>
      <c r="B64" s="63"/>
      <c r="C64" s="27" t="s">
        <v>1070</v>
      </c>
      <c r="D64" s="28" t="s">
        <v>987</v>
      </c>
      <c r="E64" s="29" t="s">
        <v>986</v>
      </c>
      <c r="F64" s="36" t="s">
        <v>1113</v>
      </c>
      <c r="G64" s="28" t="s">
        <v>987</v>
      </c>
      <c r="H64" s="29" t="s">
        <v>986</v>
      </c>
      <c r="I64" s="36" t="s">
        <v>1114</v>
      </c>
      <c r="J64" s="34" t="s">
        <v>18</v>
      </c>
      <c r="K64" s="25" t="s">
        <v>7</v>
      </c>
      <c r="L64" s="29" t="s">
        <v>946</v>
      </c>
      <c r="M64" s="25" t="s">
        <v>18</v>
      </c>
      <c r="N64" s="13"/>
      <c r="O64" s="14"/>
    </row>
    <row r="65" spans="1:15" s="55" customFormat="1">
      <c r="A65" s="63"/>
      <c r="B65" s="63"/>
      <c r="C65" s="27" t="s">
        <v>1180</v>
      </c>
      <c r="D65" s="28" t="s">
        <v>992</v>
      </c>
      <c r="E65" s="29" t="s">
        <v>986</v>
      </c>
      <c r="F65" s="30" t="s">
        <v>1106</v>
      </c>
      <c r="G65" s="28" t="s">
        <v>992</v>
      </c>
      <c r="H65" s="29" t="s">
        <v>986</v>
      </c>
      <c r="I65" s="30" t="s">
        <v>1106</v>
      </c>
      <c r="J65" s="34" t="s">
        <v>18</v>
      </c>
      <c r="K65" s="25" t="s">
        <v>7</v>
      </c>
      <c r="L65" s="29" t="s">
        <v>946</v>
      </c>
      <c r="M65" s="25" t="s">
        <v>18</v>
      </c>
      <c r="N65" s="13"/>
      <c r="O65" s="14"/>
    </row>
    <row r="66" spans="1:15" s="55" customFormat="1">
      <c r="A66" s="63"/>
      <c r="B66" s="63"/>
      <c r="C66" s="27" t="s">
        <v>1181</v>
      </c>
      <c r="D66" s="28" t="s">
        <v>992</v>
      </c>
      <c r="E66" s="29" t="s">
        <v>986</v>
      </c>
      <c r="F66" s="30" t="s">
        <v>1108</v>
      </c>
      <c r="G66" s="28" t="s">
        <v>992</v>
      </c>
      <c r="H66" s="29" t="s">
        <v>986</v>
      </c>
      <c r="I66" s="30" t="s">
        <v>1107</v>
      </c>
      <c r="J66" s="34" t="s">
        <v>18</v>
      </c>
      <c r="K66" s="25" t="s">
        <v>7</v>
      </c>
      <c r="L66" s="29" t="s">
        <v>946</v>
      </c>
      <c r="M66" s="25" t="s">
        <v>18</v>
      </c>
      <c r="N66" s="13"/>
      <c r="O66" s="14"/>
    </row>
    <row r="67" spans="1:15" s="55" customFormat="1">
      <c r="A67" s="63"/>
      <c r="B67" s="63"/>
      <c r="C67" s="27" t="s">
        <v>1182</v>
      </c>
      <c r="D67" s="28" t="s">
        <v>992</v>
      </c>
      <c r="E67" s="29" t="s">
        <v>986</v>
      </c>
      <c r="F67" s="30" t="s">
        <v>1109</v>
      </c>
      <c r="G67" s="28" t="s">
        <v>992</v>
      </c>
      <c r="H67" s="29" t="s">
        <v>986</v>
      </c>
      <c r="I67" s="30" t="s">
        <v>1109</v>
      </c>
      <c r="J67" s="34" t="s">
        <v>18</v>
      </c>
      <c r="K67" s="25" t="s">
        <v>7</v>
      </c>
      <c r="L67" s="29" t="s">
        <v>946</v>
      </c>
      <c r="M67" s="25" t="s">
        <v>18</v>
      </c>
      <c r="N67" s="13"/>
      <c r="O67" s="14"/>
    </row>
    <row r="68" spans="1:15">
      <c r="A68" s="63" t="s">
        <v>422</v>
      </c>
      <c r="B68" s="63" t="s">
        <v>899</v>
      </c>
      <c r="C68" s="35" t="s">
        <v>469</v>
      </c>
      <c r="D68" s="28" t="s">
        <v>992</v>
      </c>
      <c r="E68" s="29" t="s">
        <v>986</v>
      </c>
      <c r="F68" s="36" t="s">
        <v>945</v>
      </c>
      <c r="G68" s="28" t="s">
        <v>992</v>
      </c>
      <c r="H68" s="29" t="s">
        <v>986</v>
      </c>
      <c r="I68" s="36" t="s">
        <v>945</v>
      </c>
      <c r="J68" s="34" t="s">
        <v>18</v>
      </c>
      <c r="K68" s="25" t="s">
        <v>7</v>
      </c>
      <c r="L68" s="29" t="s">
        <v>946</v>
      </c>
      <c r="M68" s="25" t="s">
        <v>18</v>
      </c>
      <c r="N68" s="13" t="s">
        <v>969</v>
      </c>
      <c r="O68" s="14" t="s">
        <v>469</v>
      </c>
    </row>
    <row r="69" spans="1:15" s="55" customFormat="1">
      <c r="A69" s="63"/>
      <c r="B69" s="63"/>
      <c r="C69" s="27" t="s">
        <v>1183</v>
      </c>
      <c r="D69" s="28" t="s">
        <v>992</v>
      </c>
      <c r="E69" s="29" t="s">
        <v>986</v>
      </c>
      <c r="F69" s="36" t="s">
        <v>1098</v>
      </c>
      <c r="G69" s="28" t="s">
        <v>992</v>
      </c>
      <c r="H69" s="29" t="s">
        <v>986</v>
      </c>
      <c r="I69" s="36" t="s">
        <v>1098</v>
      </c>
      <c r="J69" s="34" t="s">
        <v>18</v>
      </c>
      <c r="K69" s="25" t="s">
        <v>7</v>
      </c>
      <c r="L69" s="29" t="s">
        <v>946</v>
      </c>
      <c r="M69" s="25" t="s">
        <v>18</v>
      </c>
      <c r="N69" s="13"/>
      <c r="O69" s="14"/>
    </row>
    <row r="70" spans="1:15" s="55" customFormat="1">
      <c r="A70" s="63"/>
      <c r="B70" s="63"/>
      <c r="C70" s="27" t="s">
        <v>1184</v>
      </c>
      <c r="D70" s="28" t="s">
        <v>992</v>
      </c>
      <c r="E70" s="29" t="s">
        <v>986</v>
      </c>
      <c r="F70" s="36" t="s">
        <v>942</v>
      </c>
      <c r="G70" s="28" t="s">
        <v>992</v>
      </c>
      <c r="H70" s="29" t="s">
        <v>986</v>
      </c>
      <c r="I70" s="36" t="s">
        <v>942</v>
      </c>
      <c r="J70" s="34" t="s">
        <v>18</v>
      </c>
      <c r="K70" s="25" t="s">
        <v>7</v>
      </c>
      <c r="L70" s="29" t="s">
        <v>946</v>
      </c>
      <c r="M70" s="25" t="s">
        <v>18</v>
      </c>
      <c r="N70" s="13"/>
      <c r="O70" s="14"/>
    </row>
    <row r="71" spans="1:15" s="55" customFormat="1">
      <c r="A71" s="63"/>
      <c r="B71" s="63"/>
      <c r="C71" s="27" t="s">
        <v>1185</v>
      </c>
      <c r="D71" s="28" t="s">
        <v>992</v>
      </c>
      <c r="E71" s="29" t="s">
        <v>986</v>
      </c>
      <c r="F71" s="36" t="s">
        <v>1096</v>
      </c>
      <c r="G71" s="28" t="s">
        <v>992</v>
      </c>
      <c r="H71" s="29" t="s">
        <v>986</v>
      </c>
      <c r="I71" s="36" t="s">
        <v>1097</v>
      </c>
      <c r="J71" s="34" t="s">
        <v>18</v>
      </c>
      <c r="K71" s="25" t="s">
        <v>7</v>
      </c>
      <c r="L71" s="29" t="s">
        <v>946</v>
      </c>
      <c r="M71" s="25" t="s">
        <v>18</v>
      </c>
      <c r="N71" s="13"/>
      <c r="O71" s="14"/>
    </row>
    <row r="72" spans="1:15" s="55" customFormat="1">
      <c r="A72" s="63"/>
      <c r="B72" s="63"/>
      <c r="C72" s="27" t="s">
        <v>1186</v>
      </c>
      <c r="D72" s="28" t="s">
        <v>993</v>
      </c>
      <c r="E72" s="29" t="s">
        <v>986</v>
      </c>
      <c r="F72" s="36" t="s">
        <v>1115</v>
      </c>
      <c r="G72" s="28" t="s">
        <v>994</v>
      </c>
      <c r="H72" s="29" t="s">
        <v>986</v>
      </c>
      <c r="I72" s="36" t="s">
        <v>1111</v>
      </c>
      <c r="J72" s="34" t="s">
        <v>18</v>
      </c>
      <c r="K72" s="25" t="s">
        <v>7</v>
      </c>
      <c r="L72" s="29" t="s">
        <v>946</v>
      </c>
      <c r="M72" s="25" t="s">
        <v>18</v>
      </c>
      <c r="N72" s="13"/>
      <c r="O72" s="14"/>
    </row>
    <row r="73" spans="1:15" s="55" customFormat="1">
      <c r="A73" s="63"/>
      <c r="B73" s="63"/>
      <c r="C73" s="27" t="s">
        <v>1187</v>
      </c>
      <c r="D73" s="28" t="s">
        <v>992</v>
      </c>
      <c r="E73" s="29" t="s">
        <v>986</v>
      </c>
      <c r="F73" s="30" t="s">
        <v>1108</v>
      </c>
      <c r="G73" s="28" t="s">
        <v>992</v>
      </c>
      <c r="H73" s="29" t="s">
        <v>986</v>
      </c>
      <c r="I73" s="30" t="s">
        <v>1107</v>
      </c>
      <c r="J73" s="34" t="s">
        <v>18</v>
      </c>
      <c r="K73" s="25" t="s">
        <v>7</v>
      </c>
      <c r="L73" s="29" t="s">
        <v>946</v>
      </c>
      <c r="M73" s="25" t="s">
        <v>18</v>
      </c>
      <c r="N73" s="13"/>
      <c r="O73" s="14"/>
    </row>
    <row r="74" spans="1:15" s="55" customFormat="1">
      <c r="A74" s="63"/>
      <c r="B74" s="63"/>
      <c r="C74" s="27" t="s">
        <v>1188</v>
      </c>
      <c r="D74" s="28" t="s">
        <v>992</v>
      </c>
      <c r="E74" s="29" t="s">
        <v>986</v>
      </c>
      <c r="F74" s="30" t="s">
        <v>1109</v>
      </c>
      <c r="G74" s="28" t="s">
        <v>992</v>
      </c>
      <c r="H74" s="29" t="s">
        <v>986</v>
      </c>
      <c r="I74" s="30" t="s">
        <v>1109</v>
      </c>
      <c r="J74" s="34" t="s">
        <v>18</v>
      </c>
      <c r="K74" s="25" t="s">
        <v>7</v>
      </c>
      <c r="L74" s="29" t="s">
        <v>946</v>
      </c>
      <c r="M74" s="25" t="s">
        <v>18</v>
      </c>
      <c r="N74" s="13"/>
      <c r="O74" s="14"/>
    </row>
    <row r="75" spans="1:15">
      <c r="A75" s="63" t="s">
        <v>423</v>
      </c>
      <c r="B75" s="63" t="s">
        <v>900</v>
      </c>
      <c r="C75" s="35" t="s">
        <v>463</v>
      </c>
      <c r="D75" s="28" t="s">
        <v>992</v>
      </c>
      <c r="E75" s="29" t="s">
        <v>986</v>
      </c>
      <c r="F75" s="36" t="s">
        <v>945</v>
      </c>
      <c r="G75" s="28" t="s">
        <v>992</v>
      </c>
      <c r="H75" s="29" t="s">
        <v>986</v>
      </c>
      <c r="I75" s="36" t="s">
        <v>945</v>
      </c>
      <c r="J75" s="34" t="s">
        <v>18</v>
      </c>
      <c r="K75" s="25" t="s">
        <v>7</v>
      </c>
      <c r="L75" s="29" t="s">
        <v>946</v>
      </c>
      <c r="M75" s="25" t="s">
        <v>18</v>
      </c>
      <c r="N75" s="13" t="s">
        <v>970</v>
      </c>
      <c r="O75" s="14" t="s">
        <v>463</v>
      </c>
    </row>
    <row r="76" spans="1:15" s="55" customFormat="1">
      <c r="A76" s="63"/>
      <c r="B76" s="63"/>
      <c r="C76" s="27" t="s">
        <v>1189</v>
      </c>
      <c r="D76" s="28" t="s">
        <v>992</v>
      </c>
      <c r="E76" s="29" t="s">
        <v>986</v>
      </c>
      <c r="F76" s="36" t="s">
        <v>1098</v>
      </c>
      <c r="G76" s="28" t="s">
        <v>992</v>
      </c>
      <c r="H76" s="29" t="s">
        <v>986</v>
      </c>
      <c r="I76" s="36" t="s">
        <v>1098</v>
      </c>
      <c r="J76" s="34" t="s">
        <v>18</v>
      </c>
      <c r="K76" s="25" t="s">
        <v>7</v>
      </c>
      <c r="L76" s="29" t="s">
        <v>946</v>
      </c>
      <c r="M76" s="25" t="s">
        <v>18</v>
      </c>
      <c r="N76" s="13"/>
      <c r="O76" s="14"/>
    </row>
    <row r="77" spans="1:15" s="55" customFormat="1">
      <c r="A77" s="63"/>
      <c r="B77" s="63"/>
      <c r="C77" s="27" t="s">
        <v>1190</v>
      </c>
      <c r="D77" s="28" t="s">
        <v>992</v>
      </c>
      <c r="E77" s="29" t="s">
        <v>986</v>
      </c>
      <c r="F77" s="36" t="s">
        <v>942</v>
      </c>
      <c r="G77" s="28" t="s">
        <v>992</v>
      </c>
      <c r="H77" s="29" t="s">
        <v>986</v>
      </c>
      <c r="I77" s="36" t="s">
        <v>942</v>
      </c>
      <c r="J77" s="34" t="s">
        <v>18</v>
      </c>
      <c r="K77" s="25" t="s">
        <v>7</v>
      </c>
      <c r="L77" s="29" t="s">
        <v>946</v>
      </c>
      <c r="M77" s="25" t="s">
        <v>18</v>
      </c>
      <c r="N77" s="13"/>
      <c r="O77" s="14"/>
    </row>
    <row r="78" spans="1:15" s="55" customFormat="1">
      <c r="A78" s="63"/>
      <c r="B78" s="63"/>
      <c r="C78" s="27" t="s">
        <v>1191</v>
      </c>
      <c r="D78" s="28" t="s">
        <v>992</v>
      </c>
      <c r="E78" s="29" t="s">
        <v>986</v>
      </c>
      <c r="F78" s="36" t="s">
        <v>1096</v>
      </c>
      <c r="G78" s="28" t="s">
        <v>992</v>
      </c>
      <c r="H78" s="29" t="s">
        <v>986</v>
      </c>
      <c r="I78" s="36" t="s">
        <v>1097</v>
      </c>
      <c r="J78" s="34" t="s">
        <v>18</v>
      </c>
      <c r="K78" s="25" t="s">
        <v>7</v>
      </c>
      <c r="L78" s="29" t="s">
        <v>946</v>
      </c>
      <c r="M78" s="25" t="s">
        <v>18</v>
      </c>
      <c r="N78" s="13"/>
      <c r="O78" s="14"/>
    </row>
    <row r="79" spans="1:15" s="55" customFormat="1">
      <c r="A79" s="63"/>
      <c r="B79" s="63"/>
      <c r="C79" s="27" t="s">
        <v>1192</v>
      </c>
      <c r="D79" s="28" t="s">
        <v>992</v>
      </c>
      <c r="E79" s="29" t="s">
        <v>986</v>
      </c>
      <c r="F79" s="30" t="s">
        <v>1106</v>
      </c>
      <c r="G79" s="28" t="s">
        <v>992</v>
      </c>
      <c r="H79" s="29" t="s">
        <v>986</v>
      </c>
      <c r="I79" s="30" t="s">
        <v>1106</v>
      </c>
      <c r="J79" s="34" t="s">
        <v>18</v>
      </c>
      <c r="K79" s="25" t="s">
        <v>7</v>
      </c>
      <c r="L79" s="29" t="s">
        <v>946</v>
      </c>
      <c r="M79" s="25" t="s">
        <v>18</v>
      </c>
      <c r="N79" s="13"/>
      <c r="O79" s="14"/>
    </row>
    <row r="80" spans="1:15" s="55" customFormat="1">
      <c r="A80" s="63"/>
      <c r="B80" s="63"/>
      <c r="C80" s="27" t="s">
        <v>1193</v>
      </c>
      <c r="D80" s="28" t="s">
        <v>992</v>
      </c>
      <c r="E80" s="29" t="s">
        <v>986</v>
      </c>
      <c r="F80" s="30" t="s">
        <v>1109</v>
      </c>
      <c r="G80" s="28" t="s">
        <v>992</v>
      </c>
      <c r="H80" s="29" t="s">
        <v>986</v>
      </c>
      <c r="I80" s="30" t="s">
        <v>1109</v>
      </c>
      <c r="J80" s="34" t="s">
        <v>18</v>
      </c>
      <c r="K80" s="25" t="s">
        <v>7</v>
      </c>
      <c r="L80" s="29" t="s">
        <v>946</v>
      </c>
      <c r="M80" s="25" t="s">
        <v>18</v>
      </c>
      <c r="N80" s="13"/>
      <c r="O80" s="14"/>
    </row>
    <row r="81" spans="1:15">
      <c r="A81" s="63" t="s">
        <v>425</v>
      </c>
      <c r="B81" s="63" t="s">
        <v>901</v>
      </c>
      <c r="C81" s="35" t="s">
        <v>464</v>
      </c>
      <c r="D81" s="28" t="s">
        <v>992</v>
      </c>
      <c r="E81" s="29" t="s">
        <v>986</v>
      </c>
      <c r="F81" s="36" t="s">
        <v>945</v>
      </c>
      <c r="G81" s="28" t="s">
        <v>992</v>
      </c>
      <c r="H81" s="29" t="s">
        <v>986</v>
      </c>
      <c r="I81" s="36" t="s">
        <v>945</v>
      </c>
      <c r="J81" s="34" t="s">
        <v>18</v>
      </c>
      <c r="K81" s="25" t="s">
        <v>7</v>
      </c>
      <c r="L81" s="29" t="s">
        <v>946</v>
      </c>
      <c r="M81" s="25" t="s">
        <v>18</v>
      </c>
      <c r="N81" s="13" t="s">
        <v>971</v>
      </c>
      <c r="O81" s="14" t="s">
        <v>464</v>
      </c>
    </row>
    <row r="82" spans="1:15" s="55" customFormat="1">
      <c r="A82" s="63"/>
      <c r="B82" s="63"/>
      <c r="C82" s="27" t="s">
        <v>1194</v>
      </c>
      <c r="D82" s="28" t="s">
        <v>992</v>
      </c>
      <c r="E82" s="29" t="s">
        <v>986</v>
      </c>
      <c r="F82" s="36" t="s">
        <v>1098</v>
      </c>
      <c r="G82" s="28" t="s">
        <v>992</v>
      </c>
      <c r="H82" s="29" t="s">
        <v>986</v>
      </c>
      <c r="I82" s="36" t="s">
        <v>1098</v>
      </c>
      <c r="J82" s="34" t="s">
        <v>18</v>
      </c>
      <c r="K82" s="25" t="s">
        <v>7</v>
      </c>
      <c r="L82" s="29" t="s">
        <v>946</v>
      </c>
      <c r="M82" s="25" t="s">
        <v>18</v>
      </c>
      <c r="N82" s="13"/>
      <c r="O82" s="14"/>
    </row>
    <row r="83" spans="1:15" s="55" customFormat="1">
      <c r="A83" s="63"/>
      <c r="B83" s="63"/>
      <c r="C83" s="27" t="s">
        <v>1195</v>
      </c>
      <c r="D83" s="28" t="s">
        <v>992</v>
      </c>
      <c r="E83" s="29" t="s">
        <v>986</v>
      </c>
      <c r="F83" s="36" t="s">
        <v>942</v>
      </c>
      <c r="G83" s="28" t="s">
        <v>992</v>
      </c>
      <c r="H83" s="29" t="s">
        <v>986</v>
      </c>
      <c r="I83" s="36" t="s">
        <v>942</v>
      </c>
      <c r="J83" s="34" t="s">
        <v>18</v>
      </c>
      <c r="K83" s="25" t="s">
        <v>7</v>
      </c>
      <c r="L83" s="29" t="s">
        <v>946</v>
      </c>
      <c r="M83" s="25" t="s">
        <v>18</v>
      </c>
      <c r="N83" s="13"/>
      <c r="O83" s="14"/>
    </row>
    <row r="84" spans="1:15" s="55" customFormat="1">
      <c r="A84" s="63"/>
      <c r="B84" s="63"/>
      <c r="C84" s="27" t="s">
        <v>1196</v>
      </c>
      <c r="D84" s="28" t="s">
        <v>994</v>
      </c>
      <c r="E84" s="29" t="s">
        <v>986</v>
      </c>
      <c r="F84" s="36" t="s">
        <v>1116</v>
      </c>
      <c r="G84" s="28" t="s">
        <v>994</v>
      </c>
      <c r="H84" s="29" t="s">
        <v>986</v>
      </c>
      <c r="I84" s="36" t="s">
        <v>1117</v>
      </c>
      <c r="J84" s="34" t="s">
        <v>18</v>
      </c>
      <c r="K84" s="25" t="s">
        <v>7</v>
      </c>
      <c r="L84" s="29" t="s">
        <v>946</v>
      </c>
      <c r="M84" s="25" t="s">
        <v>18</v>
      </c>
      <c r="N84" s="13"/>
      <c r="O84" s="14"/>
    </row>
    <row r="85" spans="1:15" s="55" customFormat="1">
      <c r="A85" s="63"/>
      <c r="B85" s="63"/>
      <c r="C85" s="27" t="s">
        <v>1197</v>
      </c>
      <c r="D85" s="28" t="s">
        <v>992</v>
      </c>
      <c r="E85" s="29" t="s">
        <v>986</v>
      </c>
      <c r="F85" s="30" t="s">
        <v>1106</v>
      </c>
      <c r="G85" s="28" t="s">
        <v>992</v>
      </c>
      <c r="H85" s="29" t="s">
        <v>986</v>
      </c>
      <c r="I85" s="30" t="s">
        <v>1106</v>
      </c>
      <c r="J85" s="34" t="s">
        <v>18</v>
      </c>
      <c r="K85" s="25" t="s">
        <v>7</v>
      </c>
      <c r="L85" s="29" t="s">
        <v>946</v>
      </c>
      <c r="M85" s="25" t="s">
        <v>18</v>
      </c>
      <c r="N85" s="13"/>
      <c r="O85" s="14"/>
    </row>
    <row r="86" spans="1:15" s="55" customFormat="1">
      <c r="A86" s="63"/>
      <c r="B86" s="63"/>
      <c r="C86" s="27" t="s">
        <v>1198</v>
      </c>
      <c r="D86" s="28" t="s">
        <v>992</v>
      </c>
      <c r="E86" s="29" t="s">
        <v>986</v>
      </c>
      <c r="F86" s="30" t="s">
        <v>1109</v>
      </c>
      <c r="G86" s="28" t="s">
        <v>992</v>
      </c>
      <c r="H86" s="29" t="s">
        <v>986</v>
      </c>
      <c r="I86" s="30" t="s">
        <v>1109</v>
      </c>
      <c r="J86" s="34" t="s">
        <v>18</v>
      </c>
      <c r="K86" s="25" t="s">
        <v>7</v>
      </c>
      <c r="L86" s="29" t="s">
        <v>946</v>
      </c>
      <c r="M86" s="25" t="s">
        <v>18</v>
      </c>
      <c r="N86" s="13"/>
      <c r="O86" s="14"/>
    </row>
    <row r="87" spans="1:15">
      <c r="A87" s="63" t="s">
        <v>902</v>
      </c>
      <c r="B87" s="63" t="s">
        <v>903</v>
      </c>
      <c r="C87" s="35" t="s">
        <v>1199</v>
      </c>
      <c r="D87" s="28" t="s">
        <v>992</v>
      </c>
      <c r="E87" s="29" t="s">
        <v>986</v>
      </c>
      <c r="F87" s="36" t="s">
        <v>942</v>
      </c>
      <c r="G87" s="28" t="s">
        <v>992</v>
      </c>
      <c r="H87" s="29" t="s">
        <v>986</v>
      </c>
      <c r="I87" s="36" t="s">
        <v>942</v>
      </c>
      <c r="J87" s="34" t="s">
        <v>18</v>
      </c>
      <c r="K87" s="25" t="s">
        <v>7</v>
      </c>
      <c r="L87" s="29" t="s">
        <v>946</v>
      </c>
      <c r="M87" s="25" t="s">
        <v>18</v>
      </c>
      <c r="N87" s="13" t="s">
        <v>972</v>
      </c>
      <c r="O87" s="14" t="s">
        <v>467</v>
      </c>
    </row>
    <row r="88" spans="1:15" s="55" customFormat="1">
      <c r="A88" s="63"/>
      <c r="B88" s="63"/>
      <c r="C88" s="27" t="s">
        <v>1200</v>
      </c>
      <c r="D88" s="28" t="s">
        <v>992</v>
      </c>
      <c r="E88" s="29" t="s">
        <v>986</v>
      </c>
      <c r="F88" s="36" t="s">
        <v>1098</v>
      </c>
      <c r="G88" s="28" t="s">
        <v>992</v>
      </c>
      <c r="H88" s="29" t="s">
        <v>986</v>
      </c>
      <c r="I88" s="36" t="s">
        <v>1098</v>
      </c>
      <c r="J88" s="34" t="s">
        <v>18</v>
      </c>
      <c r="K88" s="25" t="s">
        <v>7</v>
      </c>
      <c r="L88" s="29" t="s">
        <v>946</v>
      </c>
      <c r="M88" s="25" t="s">
        <v>18</v>
      </c>
      <c r="N88" s="13"/>
      <c r="O88" s="14"/>
    </row>
    <row r="89" spans="1:15" s="55" customFormat="1">
      <c r="A89" s="63"/>
      <c r="B89" s="63"/>
      <c r="C89" s="27" t="s">
        <v>1201</v>
      </c>
      <c r="D89" s="28" t="s">
        <v>1033</v>
      </c>
      <c r="E89" s="29" t="s">
        <v>986</v>
      </c>
      <c r="F89" s="36" t="s">
        <v>1097</v>
      </c>
      <c r="G89" s="28" t="s">
        <v>993</v>
      </c>
      <c r="H89" s="29" t="s">
        <v>986</v>
      </c>
      <c r="I89" s="36" t="s">
        <v>1110</v>
      </c>
      <c r="J89" s="34" t="s">
        <v>18</v>
      </c>
      <c r="K89" s="25" t="s">
        <v>7</v>
      </c>
      <c r="L89" s="29" t="s">
        <v>946</v>
      </c>
      <c r="M89" s="25" t="s">
        <v>18</v>
      </c>
      <c r="N89" s="13"/>
      <c r="O89" s="14"/>
    </row>
    <row r="90" spans="1:15" s="55" customFormat="1">
      <c r="A90" s="63"/>
      <c r="B90" s="63"/>
      <c r="C90" s="27" t="s">
        <v>1202</v>
      </c>
      <c r="D90" s="28" t="s">
        <v>992</v>
      </c>
      <c r="E90" s="29" t="s">
        <v>986</v>
      </c>
      <c r="F90" s="30" t="s">
        <v>1099</v>
      </c>
      <c r="G90" s="28" t="s">
        <v>992</v>
      </c>
      <c r="H90" s="29" t="s">
        <v>986</v>
      </c>
      <c r="I90" s="30" t="s">
        <v>1099</v>
      </c>
      <c r="J90" s="34" t="s">
        <v>18</v>
      </c>
      <c r="K90" s="25" t="s">
        <v>7</v>
      </c>
      <c r="L90" s="29" t="s">
        <v>946</v>
      </c>
      <c r="M90" s="25" t="s">
        <v>18</v>
      </c>
      <c r="N90" s="13"/>
      <c r="O90" s="14"/>
    </row>
    <row r="91" spans="1:15" s="55" customFormat="1">
      <c r="A91" s="63"/>
      <c r="B91" s="63"/>
      <c r="C91" s="27" t="s">
        <v>1203</v>
      </c>
      <c r="D91" s="28" t="s">
        <v>992</v>
      </c>
      <c r="E91" s="29" t="s">
        <v>986</v>
      </c>
      <c r="F91" s="30" t="s">
        <v>1106</v>
      </c>
      <c r="G91" s="28" t="s">
        <v>992</v>
      </c>
      <c r="H91" s="29" t="s">
        <v>986</v>
      </c>
      <c r="I91" s="30" t="s">
        <v>1106</v>
      </c>
      <c r="J91" s="34" t="s">
        <v>18</v>
      </c>
      <c r="K91" s="25" t="s">
        <v>7</v>
      </c>
      <c r="L91" s="29" t="s">
        <v>946</v>
      </c>
      <c r="M91" s="25" t="s">
        <v>18</v>
      </c>
      <c r="N91" s="13"/>
      <c r="O91" s="14"/>
    </row>
    <row r="92" spans="1:15" s="55" customFormat="1">
      <c r="A92" s="63"/>
      <c r="B92" s="63"/>
      <c r="C92" s="27" t="s">
        <v>1204</v>
      </c>
      <c r="D92" s="28" t="s">
        <v>992</v>
      </c>
      <c r="E92" s="29" t="s">
        <v>986</v>
      </c>
      <c r="F92" s="30" t="s">
        <v>1108</v>
      </c>
      <c r="G92" s="28" t="s">
        <v>992</v>
      </c>
      <c r="H92" s="29" t="s">
        <v>986</v>
      </c>
      <c r="I92" s="30" t="s">
        <v>1107</v>
      </c>
      <c r="J92" s="34" t="s">
        <v>18</v>
      </c>
      <c r="K92" s="25" t="s">
        <v>7</v>
      </c>
      <c r="L92" s="29" t="s">
        <v>946</v>
      </c>
      <c r="M92" s="25" t="s">
        <v>18</v>
      </c>
      <c r="N92" s="13"/>
      <c r="O92" s="14"/>
    </row>
    <row r="93" spans="1:15" s="55" customFormat="1">
      <c r="A93" s="63"/>
      <c r="B93" s="63"/>
      <c r="C93" s="27" t="s">
        <v>1205</v>
      </c>
      <c r="D93" s="28" t="s">
        <v>992</v>
      </c>
      <c r="E93" s="29" t="s">
        <v>986</v>
      </c>
      <c r="F93" s="30" t="s">
        <v>1109</v>
      </c>
      <c r="G93" s="28" t="s">
        <v>992</v>
      </c>
      <c r="H93" s="29" t="s">
        <v>986</v>
      </c>
      <c r="I93" s="30" t="s">
        <v>1109</v>
      </c>
      <c r="J93" s="34" t="s">
        <v>18</v>
      </c>
      <c r="K93" s="25" t="s">
        <v>7</v>
      </c>
      <c r="L93" s="29" t="s">
        <v>946</v>
      </c>
      <c r="M93" s="25" t="s">
        <v>18</v>
      </c>
      <c r="N93" s="13"/>
      <c r="O93" s="14"/>
    </row>
    <row r="94" spans="1:15">
      <c r="A94" s="63" t="s">
        <v>427</v>
      </c>
      <c r="B94" s="63" t="s">
        <v>904</v>
      </c>
      <c r="C94" s="35" t="s">
        <v>1204</v>
      </c>
      <c r="D94" s="28" t="s">
        <v>992</v>
      </c>
      <c r="E94" s="29" t="s">
        <v>986</v>
      </c>
      <c r="F94" s="36" t="s">
        <v>942</v>
      </c>
      <c r="G94" s="28" t="s">
        <v>992</v>
      </c>
      <c r="H94" s="29" t="s">
        <v>986</v>
      </c>
      <c r="I94" s="36" t="s">
        <v>942</v>
      </c>
      <c r="J94" s="34" t="s">
        <v>18</v>
      </c>
      <c r="K94" s="25" t="s">
        <v>7</v>
      </c>
      <c r="L94" s="29" t="s">
        <v>946</v>
      </c>
      <c r="M94" s="25" t="s">
        <v>18</v>
      </c>
      <c r="N94" s="13" t="s">
        <v>973</v>
      </c>
      <c r="O94" s="14" t="s">
        <v>468</v>
      </c>
    </row>
    <row r="95" spans="1:15" s="55" customFormat="1">
      <c r="A95" s="63"/>
      <c r="B95" s="63"/>
      <c r="C95" s="27" t="s">
        <v>1206</v>
      </c>
      <c r="D95" s="28" t="s">
        <v>992</v>
      </c>
      <c r="E95" s="29" t="s">
        <v>986</v>
      </c>
      <c r="F95" s="36" t="s">
        <v>1098</v>
      </c>
      <c r="G95" s="28" t="s">
        <v>992</v>
      </c>
      <c r="H95" s="29" t="s">
        <v>986</v>
      </c>
      <c r="I95" s="36" t="s">
        <v>1098</v>
      </c>
      <c r="J95" s="34" t="s">
        <v>18</v>
      </c>
      <c r="K95" s="25" t="s">
        <v>7</v>
      </c>
      <c r="L95" s="29" t="s">
        <v>946</v>
      </c>
      <c r="M95" s="25" t="s">
        <v>18</v>
      </c>
      <c r="N95" s="13"/>
      <c r="O95" s="14"/>
    </row>
    <row r="96" spans="1:15" s="55" customFormat="1">
      <c r="A96" s="63"/>
      <c r="B96" s="63"/>
      <c r="C96" s="27" t="s">
        <v>1207</v>
      </c>
      <c r="D96" s="28" t="s">
        <v>1033</v>
      </c>
      <c r="E96" s="29" t="s">
        <v>986</v>
      </c>
      <c r="F96" s="36" t="s">
        <v>1097</v>
      </c>
      <c r="G96" s="28" t="s">
        <v>993</v>
      </c>
      <c r="H96" s="29" t="s">
        <v>986</v>
      </c>
      <c r="I96" s="36" t="s">
        <v>1110</v>
      </c>
      <c r="J96" s="34" t="s">
        <v>18</v>
      </c>
      <c r="K96" s="25" t="s">
        <v>7</v>
      </c>
      <c r="L96" s="29" t="s">
        <v>946</v>
      </c>
      <c r="M96" s="25" t="s">
        <v>18</v>
      </c>
      <c r="N96" s="13"/>
      <c r="O96" s="14"/>
    </row>
    <row r="97" spans="1:15" s="55" customFormat="1">
      <c r="A97" s="63"/>
      <c r="B97" s="63"/>
      <c r="C97" s="27" t="s">
        <v>1203</v>
      </c>
      <c r="D97" s="28" t="s">
        <v>992</v>
      </c>
      <c r="E97" s="29" t="s">
        <v>986</v>
      </c>
      <c r="F97" s="30" t="s">
        <v>1099</v>
      </c>
      <c r="G97" s="28" t="s">
        <v>992</v>
      </c>
      <c r="H97" s="29" t="s">
        <v>986</v>
      </c>
      <c r="I97" s="30" t="s">
        <v>1099</v>
      </c>
      <c r="J97" s="34" t="s">
        <v>18</v>
      </c>
      <c r="K97" s="25" t="s">
        <v>7</v>
      </c>
      <c r="L97" s="29" t="s">
        <v>946</v>
      </c>
      <c r="M97" s="25" t="s">
        <v>18</v>
      </c>
      <c r="N97" s="13"/>
      <c r="O97" s="14"/>
    </row>
    <row r="98" spans="1:15" s="55" customFormat="1">
      <c r="A98" s="63"/>
      <c r="B98" s="63"/>
      <c r="C98" s="27" t="s">
        <v>1198</v>
      </c>
      <c r="D98" s="28" t="s">
        <v>992</v>
      </c>
      <c r="E98" s="29" t="s">
        <v>986</v>
      </c>
      <c r="F98" s="30" t="s">
        <v>1108</v>
      </c>
      <c r="G98" s="28" t="s">
        <v>992</v>
      </c>
      <c r="H98" s="29" t="s">
        <v>986</v>
      </c>
      <c r="I98" s="30" t="s">
        <v>1107</v>
      </c>
      <c r="J98" s="34" t="s">
        <v>18</v>
      </c>
      <c r="K98" s="25" t="s">
        <v>7</v>
      </c>
      <c r="L98" s="29" t="s">
        <v>946</v>
      </c>
      <c r="M98" s="25" t="s">
        <v>18</v>
      </c>
      <c r="N98" s="13"/>
      <c r="O98" s="14"/>
    </row>
    <row r="99" spans="1:15" s="55" customFormat="1">
      <c r="A99" s="63"/>
      <c r="B99" s="63"/>
      <c r="C99" s="27" t="s">
        <v>1208</v>
      </c>
      <c r="D99" s="28" t="s">
        <v>992</v>
      </c>
      <c r="E99" s="29" t="s">
        <v>986</v>
      </c>
      <c r="F99" s="30" t="s">
        <v>1109</v>
      </c>
      <c r="G99" s="28" t="s">
        <v>992</v>
      </c>
      <c r="H99" s="29" t="s">
        <v>986</v>
      </c>
      <c r="I99" s="30" t="s">
        <v>1109</v>
      </c>
      <c r="J99" s="34" t="s">
        <v>18</v>
      </c>
      <c r="K99" s="25" t="s">
        <v>7</v>
      </c>
      <c r="L99" s="29" t="s">
        <v>946</v>
      </c>
      <c r="M99" s="25" t="s">
        <v>18</v>
      </c>
      <c r="N99" s="13"/>
      <c r="O99" s="14"/>
    </row>
    <row r="100" spans="1:15">
      <c r="A100" s="63" t="s">
        <v>428</v>
      </c>
      <c r="B100" s="63" t="s">
        <v>905</v>
      </c>
      <c r="C100" s="35" t="s">
        <v>466</v>
      </c>
      <c r="D100" s="28" t="s">
        <v>992</v>
      </c>
      <c r="E100" s="29" t="s">
        <v>986</v>
      </c>
      <c r="F100" s="36" t="s">
        <v>942</v>
      </c>
      <c r="G100" s="28" t="s">
        <v>992</v>
      </c>
      <c r="H100" s="29" t="s">
        <v>986</v>
      </c>
      <c r="I100" s="36" t="s">
        <v>942</v>
      </c>
      <c r="J100" s="34" t="s">
        <v>18</v>
      </c>
      <c r="K100" s="25" t="s">
        <v>7</v>
      </c>
      <c r="L100" s="29" t="s">
        <v>946</v>
      </c>
      <c r="M100" s="25" t="s">
        <v>18</v>
      </c>
      <c r="N100" s="13" t="s">
        <v>974</v>
      </c>
      <c r="O100" s="14" t="s">
        <v>466</v>
      </c>
    </row>
    <row r="101" spans="1:15" s="55" customFormat="1">
      <c r="A101" s="63"/>
      <c r="B101" s="63"/>
      <c r="C101" s="27" t="s">
        <v>1209</v>
      </c>
      <c r="D101" s="28" t="s">
        <v>992</v>
      </c>
      <c r="E101" s="29" t="s">
        <v>986</v>
      </c>
      <c r="F101" s="36" t="s">
        <v>1098</v>
      </c>
      <c r="G101" s="28" t="s">
        <v>992</v>
      </c>
      <c r="H101" s="29" t="s">
        <v>986</v>
      </c>
      <c r="I101" s="36" t="s">
        <v>1098</v>
      </c>
      <c r="J101" s="34" t="s">
        <v>18</v>
      </c>
      <c r="K101" s="25" t="s">
        <v>7</v>
      </c>
      <c r="L101" s="29" t="s">
        <v>946</v>
      </c>
      <c r="M101" s="25" t="s">
        <v>18</v>
      </c>
      <c r="N101" s="13"/>
      <c r="O101" s="14"/>
    </row>
    <row r="102" spans="1:15" s="55" customFormat="1">
      <c r="A102" s="63"/>
      <c r="B102" s="63"/>
      <c r="C102" s="27" t="s">
        <v>1210</v>
      </c>
      <c r="D102" s="28" t="s">
        <v>1033</v>
      </c>
      <c r="E102" s="29" t="s">
        <v>986</v>
      </c>
      <c r="F102" s="36" t="s">
        <v>1097</v>
      </c>
      <c r="G102" s="28" t="s">
        <v>993</v>
      </c>
      <c r="H102" s="29" t="s">
        <v>986</v>
      </c>
      <c r="I102" s="36" t="s">
        <v>1110</v>
      </c>
      <c r="J102" s="34" t="s">
        <v>18</v>
      </c>
      <c r="K102" s="25" t="s">
        <v>7</v>
      </c>
      <c r="L102" s="29" t="s">
        <v>946</v>
      </c>
      <c r="M102" s="25" t="s">
        <v>18</v>
      </c>
      <c r="N102" s="13"/>
      <c r="O102" s="14"/>
    </row>
    <row r="103" spans="1:15" s="55" customFormat="1">
      <c r="A103" s="63"/>
      <c r="B103" s="63"/>
      <c r="C103" s="27" t="s">
        <v>1211</v>
      </c>
      <c r="D103" s="28" t="s">
        <v>992</v>
      </c>
      <c r="E103" s="29" t="s">
        <v>986</v>
      </c>
      <c r="F103" s="30" t="s">
        <v>1108</v>
      </c>
      <c r="G103" s="28" t="s">
        <v>992</v>
      </c>
      <c r="H103" s="29" t="s">
        <v>986</v>
      </c>
      <c r="I103" s="30" t="s">
        <v>1107</v>
      </c>
      <c r="J103" s="34" t="s">
        <v>18</v>
      </c>
      <c r="K103" s="25" t="s">
        <v>7</v>
      </c>
      <c r="L103" s="29" t="s">
        <v>946</v>
      </c>
      <c r="M103" s="25" t="s">
        <v>18</v>
      </c>
      <c r="N103" s="13"/>
      <c r="O103" s="14"/>
    </row>
    <row r="104" spans="1:15" s="55" customFormat="1">
      <c r="A104" s="63"/>
      <c r="B104" s="63"/>
      <c r="C104" s="27" t="s">
        <v>1212</v>
      </c>
      <c r="D104" s="28" t="s">
        <v>992</v>
      </c>
      <c r="E104" s="29" t="s">
        <v>986</v>
      </c>
      <c r="F104" s="30" t="s">
        <v>1109</v>
      </c>
      <c r="G104" s="28" t="s">
        <v>992</v>
      </c>
      <c r="H104" s="29" t="s">
        <v>986</v>
      </c>
      <c r="I104" s="30" t="s">
        <v>1109</v>
      </c>
      <c r="J104" s="34" t="s">
        <v>18</v>
      </c>
      <c r="K104" s="25" t="s">
        <v>7</v>
      </c>
      <c r="L104" s="29" t="s">
        <v>946</v>
      </c>
      <c r="M104" s="25" t="s">
        <v>18</v>
      </c>
      <c r="N104" s="13"/>
      <c r="O104" s="14"/>
    </row>
    <row r="105" spans="1:15">
      <c r="A105" s="63" t="s">
        <v>429</v>
      </c>
      <c r="B105" s="63" t="s">
        <v>906</v>
      </c>
      <c r="C105" s="35" t="s">
        <v>470</v>
      </c>
      <c r="D105" s="28" t="s">
        <v>992</v>
      </c>
      <c r="E105" s="29" t="s">
        <v>986</v>
      </c>
      <c r="F105" s="36" t="s">
        <v>942</v>
      </c>
      <c r="G105" s="28" t="s">
        <v>992</v>
      </c>
      <c r="H105" s="29" t="s">
        <v>986</v>
      </c>
      <c r="I105" s="36" t="s">
        <v>942</v>
      </c>
      <c r="J105" s="34" t="s">
        <v>18</v>
      </c>
      <c r="K105" s="25" t="s">
        <v>7</v>
      </c>
      <c r="L105" s="29" t="s">
        <v>946</v>
      </c>
      <c r="M105" s="25" t="s">
        <v>18</v>
      </c>
      <c r="N105" s="13" t="s">
        <v>975</v>
      </c>
      <c r="O105" s="14" t="s">
        <v>470</v>
      </c>
    </row>
    <row r="106" spans="1:15" s="55" customFormat="1">
      <c r="A106" s="63"/>
      <c r="B106" s="63"/>
      <c r="C106" s="27" t="s">
        <v>1213</v>
      </c>
      <c r="D106" s="28" t="s">
        <v>992</v>
      </c>
      <c r="E106" s="29" t="s">
        <v>986</v>
      </c>
      <c r="F106" s="36" t="s">
        <v>1098</v>
      </c>
      <c r="G106" s="28" t="s">
        <v>992</v>
      </c>
      <c r="H106" s="29" t="s">
        <v>986</v>
      </c>
      <c r="I106" s="36" t="s">
        <v>1098</v>
      </c>
      <c r="J106" s="34" t="s">
        <v>18</v>
      </c>
      <c r="K106" s="25" t="s">
        <v>7</v>
      </c>
      <c r="L106" s="29" t="s">
        <v>946</v>
      </c>
      <c r="M106" s="25" t="s">
        <v>18</v>
      </c>
      <c r="N106" s="13"/>
      <c r="O106" s="14"/>
    </row>
    <row r="107" spans="1:15" s="55" customFormat="1">
      <c r="A107" s="63"/>
      <c r="B107" s="63"/>
      <c r="C107" s="27" t="s">
        <v>1214</v>
      </c>
      <c r="D107" s="28" t="s">
        <v>1033</v>
      </c>
      <c r="E107" s="29" t="s">
        <v>986</v>
      </c>
      <c r="F107" s="36" t="s">
        <v>1097</v>
      </c>
      <c r="G107" s="28" t="s">
        <v>1033</v>
      </c>
      <c r="H107" s="29" t="s">
        <v>986</v>
      </c>
      <c r="I107" s="36" t="s">
        <v>1097</v>
      </c>
      <c r="J107" s="34" t="s">
        <v>18</v>
      </c>
      <c r="K107" s="25" t="s">
        <v>7</v>
      </c>
      <c r="L107" s="29" t="s">
        <v>946</v>
      </c>
      <c r="M107" s="25" t="s">
        <v>18</v>
      </c>
      <c r="N107" s="13"/>
      <c r="O107" s="14"/>
    </row>
    <row r="108" spans="1:15" s="55" customFormat="1">
      <c r="A108" s="63"/>
      <c r="B108" s="63"/>
      <c r="C108" s="27" t="s">
        <v>1063</v>
      </c>
      <c r="D108" s="28" t="s">
        <v>992</v>
      </c>
      <c r="E108" s="29" t="s">
        <v>986</v>
      </c>
      <c r="F108" s="30" t="s">
        <v>1099</v>
      </c>
      <c r="G108" s="28" t="s">
        <v>992</v>
      </c>
      <c r="H108" s="29" t="s">
        <v>986</v>
      </c>
      <c r="I108" s="30" t="s">
        <v>1099</v>
      </c>
      <c r="J108" s="34" t="s">
        <v>18</v>
      </c>
      <c r="K108" s="25" t="s">
        <v>7</v>
      </c>
      <c r="L108" s="29" t="s">
        <v>946</v>
      </c>
      <c r="M108" s="25" t="s">
        <v>18</v>
      </c>
      <c r="N108" s="13"/>
      <c r="O108" s="14"/>
    </row>
    <row r="109" spans="1:15" s="55" customFormat="1">
      <c r="A109" s="63"/>
      <c r="B109" s="63"/>
      <c r="C109" s="27" t="s">
        <v>1078</v>
      </c>
      <c r="D109" s="28" t="s">
        <v>992</v>
      </c>
      <c r="E109" s="29" t="s">
        <v>986</v>
      </c>
      <c r="F109" s="30" t="s">
        <v>1106</v>
      </c>
      <c r="G109" s="28" t="s">
        <v>992</v>
      </c>
      <c r="H109" s="29" t="s">
        <v>986</v>
      </c>
      <c r="I109" s="30" t="s">
        <v>1106</v>
      </c>
      <c r="J109" s="34" t="s">
        <v>18</v>
      </c>
      <c r="K109" s="25" t="s">
        <v>7</v>
      </c>
      <c r="L109" s="29" t="s">
        <v>946</v>
      </c>
      <c r="M109" s="25" t="s">
        <v>18</v>
      </c>
      <c r="N109" s="13"/>
      <c r="O109" s="14"/>
    </row>
    <row r="110" spans="1:15" s="55" customFormat="1">
      <c r="A110" s="63"/>
      <c r="B110" s="63"/>
      <c r="C110" s="27" t="s">
        <v>1083</v>
      </c>
      <c r="D110" s="28" t="s">
        <v>992</v>
      </c>
      <c r="E110" s="29" t="s">
        <v>986</v>
      </c>
      <c r="F110" s="30" t="s">
        <v>1109</v>
      </c>
      <c r="G110" s="28" t="s">
        <v>992</v>
      </c>
      <c r="H110" s="29" t="s">
        <v>986</v>
      </c>
      <c r="I110" s="30" t="s">
        <v>1109</v>
      </c>
      <c r="J110" s="34" t="s">
        <v>18</v>
      </c>
      <c r="K110" s="25" t="s">
        <v>7</v>
      </c>
      <c r="L110" s="29" t="s">
        <v>946</v>
      </c>
      <c r="M110" s="25" t="s">
        <v>18</v>
      </c>
      <c r="N110" s="13"/>
      <c r="O110" s="14"/>
    </row>
    <row r="111" spans="1:15">
      <c r="A111" s="63" t="s">
        <v>907</v>
      </c>
      <c r="B111" s="63" t="s">
        <v>908</v>
      </c>
      <c r="C111" s="35" t="s">
        <v>934</v>
      </c>
      <c r="D111" s="28" t="s">
        <v>992</v>
      </c>
      <c r="E111" s="29" t="s">
        <v>986</v>
      </c>
      <c r="F111" s="36" t="s">
        <v>1119</v>
      </c>
      <c r="G111" s="28" t="s">
        <v>992</v>
      </c>
      <c r="H111" s="29" t="s">
        <v>986</v>
      </c>
      <c r="I111" s="36" t="s">
        <v>942</v>
      </c>
      <c r="J111" s="34" t="s">
        <v>18</v>
      </c>
      <c r="K111" s="25" t="s">
        <v>7</v>
      </c>
      <c r="L111" s="29" t="s">
        <v>946</v>
      </c>
      <c r="M111" s="25" t="s">
        <v>18</v>
      </c>
      <c r="N111" s="13" t="s">
        <v>976</v>
      </c>
      <c r="O111" s="14" t="s">
        <v>934</v>
      </c>
    </row>
    <row r="112" spans="1:15" s="55" customFormat="1">
      <c r="A112" s="63"/>
      <c r="B112" s="63"/>
      <c r="C112" s="27" t="s">
        <v>1084</v>
      </c>
      <c r="D112" s="28" t="s">
        <v>992</v>
      </c>
      <c r="E112" s="29" t="s">
        <v>986</v>
      </c>
      <c r="F112" s="30" t="s">
        <v>1098</v>
      </c>
      <c r="G112" s="28" t="s">
        <v>992</v>
      </c>
      <c r="H112" s="29" t="s">
        <v>986</v>
      </c>
      <c r="I112" s="30" t="s">
        <v>1098</v>
      </c>
      <c r="J112" s="34" t="s">
        <v>18</v>
      </c>
      <c r="K112" s="25" t="s">
        <v>7</v>
      </c>
      <c r="L112" s="29" t="s">
        <v>946</v>
      </c>
      <c r="M112" s="25" t="s">
        <v>18</v>
      </c>
      <c r="N112" s="13"/>
      <c r="O112" s="14"/>
    </row>
    <row r="113" spans="1:15" s="55" customFormat="1">
      <c r="A113" s="63"/>
      <c r="B113" s="63"/>
      <c r="C113" s="27" t="s">
        <v>1087</v>
      </c>
      <c r="D113" s="28" t="s">
        <v>992</v>
      </c>
      <c r="E113" s="29" t="s">
        <v>986</v>
      </c>
      <c r="F113" s="30" t="s">
        <v>1097</v>
      </c>
      <c r="G113" s="28" t="s">
        <v>992</v>
      </c>
      <c r="H113" s="29" t="s">
        <v>986</v>
      </c>
      <c r="I113" s="30" t="s">
        <v>1097</v>
      </c>
      <c r="J113" s="34" t="s">
        <v>18</v>
      </c>
      <c r="K113" s="25" t="s">
        <v>7</v>
      </c>
      <c r="L113" s="29" t="s">
        <v>946</v>
      </c>
      <c r="M113" s="25" t="s">
        <v>18</v>
      </c>
      <c r="N113" s="13"/>
      <c r="O113" s="14"/>
    </row>
    <row r="114" spans="1:15" s="55" customFormat="1">
      <c r="A114" s="63"/>
      <c r="B114" s="63"/>
      <c r="C114" s="27" t="s">
        <v>1089</v>
      </c>
      <c r="D114" s="28" t="s">
        <v>992</v>
      </c>
      <c r="E114" s="29" t="s">
        <v>986</v>
      </c>
      <c r="F114" s="30" t="s">
        <v>1109</v>
      </c>
      <c r="G114" s="28" t="s">
        <v>992</v>
      </c>
      <c r="H114" s="29" t="s">
        <v>986</v>
      </c>
      <c r="I114" s="30" t="s">
        <v>1109</v>
      </c>
      <c r="J114" s="34" t="s">
        <v>18</v>
      </c>
      <c r="K114" s="25" t="s">
        <v>7</v>
      </c>
      <c r="L114" s="29" t="s">
        <v>946</v>
      </c>
      <c r="M114" s="25" t="s">
        <v>18</v>
      </c>
      <c r="N114" s="13"/>
      <c r="O114" s="14"/>
    </row>
    <row r="115" spans="1:15" s="55" customFormat="1">
      <c r="A115" s="63"/>
      <c r="B115" s="63"/>
      <c r="C115" s="27" t="s">
        <v>1072</v>
      </c>
      <c r="D115" s="28" t="s">
        <v>992</v>
      </c>
      <c r="E115" s="29" t="s">
        <v>986</v>
      </c>
      <c r="F115" s="30" t="s">
        <v>1099</v>
      </c>
      <c r="G115" s="28" t="s">
        <v>992</v>
      </c>
      <c r="H115" s="29" t="s">
        <v>986</v>
      </c>
      <c r="I115" s="30" t="s">
        <v>1099</v>
      </c>
      <c r="J115" s="34" t="s">
        <v>18</v>
      </c>
      <c r="K115" s="25" t="s">
        <v>7</v>
      </c>
      <c r="L115" s="29" t="s">
        <v>946</v>
      </c>
      <c r="M115" s="25" t="s">
        <v>18</v>
      </c>
      <c r="N115" s="13"/>
      <c r="O115" s="14"/>
    </row>
    <row r="116" spans="1:15">
      <c r="A116" s="63" t="s">
        <v>909</v>
      </c>
      <c r="B116" s="63" t="s">
        <v>910</v>
      </c>
      <c r="C116" s="35" t="s">
        <v>424</v>
      </c>
      <c r="D116" s="28" t="s">
        <v>992</v>
      </c>
      <c r="E116" s="29" t="s">
        <v>986</v>
      </c>
      <c r="F116" s="36" t="s">
        <v>942</v>
      </c>
      <c r="G116" s="28" t="s">
        <v>992</v>
      </c>
      <c r="H116" s="29" t="s">
        <v>986</v>
      </c>
      <c r="I116" s="36" t="s">
        <v>942</v>
      </c>
      <c r="J116" s="34" t="s">
        <v>18</v>
      </c>
      <c r="K116" s="25" t="s">
        <v>7</v>
      </c>
      <c r="L116" s="29" t="s">
        <v>946</v>
      </c>
      <c r="M116" s="25" t="s">
        <v>18</v>
      </c>
      <c r="N116" s="13" t="s">
        <v>977</v>
      </c>
      <c r="O116" s="14" t="s">
        <v>424</v>
      </c>
    </row>
    <row r="117" spans="1:15" s="55" customFormat="1">
      <c r="A117" s="63"/>
      <c r="B117" s="63"/>
      <c r="C117" s="27" t="s">
        <v>1085</v>
      </c>
      <c r="D117" s="28" t="s">
        <v>992</v>
      </c>
      <c r="E117" s="29" t="s">
        <v>986</v>
      </c>
      <c r="F117" s="30" t="s">
        <v>1098</v>
      </c>
      <c r="G117" s="28" t="s">
        <v>992</v>
      </c>
      <c r="H117" s="29" t="s">
        <v>986</v>
      </c>
      <c r="I117" s="30" t="s">
        <v>1098</v>
      </c>
      <c r="J117" s="34" t="s">
        <v>18</v>
      </c>
      <c r="K117" s="25" t="s">
        <v>7</v>
      </c>
      <c r="L117" s="29" t="s">
        <v>946</v>
      </c>
      <c r="M117" s="25" t="s">
        <v>18</v>
      </c>
      <c r="N117" s="13"/>
      <c r="O117" s="14"/>
    </row>
    <row r="118" spans="1:15" s="55" customFormat="1">
      <c r="A118" s="63"/>
      <c r="B118" s="63"/>
      <c r="C118" s="27" t="s">
        <v>1088</v>
      </c>
      <c r="D118" s="28" t="s">
        <v>992</v>
      </c>
      <c r="E118" s="29" t="s">
        <v>986</v>
      </c>
      <c r="F118" s="30" t="s">
        <v>1097</v>
      </c>
      <c r="G118" s="28" t="s">
        <v>992</v>
      </c>
      <c r="H118" s="29" t="s">
        <v>986</v>
      </c>
      <c r="I118" s="30" t="s">
        <v>1097</v>
      </c>
      <c r="J118" s="34" t="s">
        <v>18</v>
      </c>
      <c r="K118" s="25" t="s">
        <v>7</v>
      </c>
      <c r="L118" s="29" t="s">
        <v>946</v>
      </c>
      <c r="M118" s="25" t="s">
        <v>18</v>
      </c>
      <c r="N118" s="13"/>
      <c r="O118" s="14"/>
    </row>
    <row r="119" spans="1:15" s="55" customFormat="1">
      <c r="A119" s="63"/>
      <c r="B119" s="63"/>
      <c r="C119" s="27" t="s">
        <v>1090</v>
      </c>
      <c r="D119" s="28" t="s">
        <v>992</v>
      </c>
      <c r="E119" s="29" t="s">
        <v>986</v>
      </c>
      <c r="F119" s="30" t="s">
        <v>1109</v>
      </c>
      <c r="G119" s="28" t="s">
        <v>992</v>
      </c>
      <c r="H119" s="29" t="s">
        <v>986</v>
      </c>
      <c r="I119" s="30" t="s">
        <v>1109</v>
      </c>
      <c r="J119" s="34" t="s">
        <v>18</v>
      </c>
      <c r="K119" s="25" t="s">
        <v>7</v>
      </c>
      <c r="L119" s="29" t="s">
        <v>946</v>
      </c>
      <c r="M119" s="25" t="s">
        <v>18</v>
      </c>
      <c r="N119" s="13"/>
      <c r="O119" s="14"/>
    </row>
    <row r="120" spans="1:15">
      <c r="A120" s="63" t="s">
        <v>911</v>
      </c>
      <c r="B120" s="63" t="s">
        <v>912</v>
      </c>
      <c r="C120" s="35" t="s">
        <v>426</v>
      </c>
      <c r="D120" s="28" t="s">
        <v>992</v>
      </c>
      <c r="E120" s="29" t="s">
        <v>986</v>
      </c>
      <c r="F120" s="36" t="s">
        <v>942</v>
      </c>
      <c r="G120" s="28" t="s">
        <v>992</v>
      </c>
      <c r="H120" s="29" t="s">
        <v>986</v>
      </c>
      <c r="I120" s="36" t="s">
        <v>942</v>
      </c>
      <c r="J120" s="34" t="s">
        <v>18</v>
      </c>
      <c r="K120" s="25" t="s">
        <v>7</v>
      </c>
      <c r="L120" s="29" t="s">
        <v>946</v>
      </c>
      <c r="M120" s="25" t="s">
        <v>18</v>
      </c>
      <c r="N120" s="13" t="s">
        <v>978</v>
      </c>
      <c r="O120" s="14" t="s">
        <v>426</v>
      </c>
    </row>
    <row r="121" spans="1:15" s="55" customFormat="1">
      <c r="A121" s="63"/>
      <c r="B121" s="63"/>
      <c r="C121" s="35" t="s">
        <v>1086</v>
      </c>
      <c r="D121" s="28" t="s">
        <v>992</v>
      </c>
      <c r="E121" s="29" t="s">
        <v>986</v>
      </c>
      <c r="F121" s="30" t="s">
        <v>1098</v>
      </c>
      <c r="G121" s="28" t="s">
        <v>992</v>
      </c>
      <c r="H121" s="29" t="s">
        <v>986</v>
      </c>
      <c r="I121" s="30" t="s">
        <v>1098</v>
      </c>
      <c r="J121" s="34" t="s">
        <v>18</v>
      </c>
      <c r="K121" s="25" t="s">
        <v>7</v>
      </c>
      <c r="L121" s="29" t="s">
        <v>946</v>
      </c>
      <c r="M121" s="25" t="s">
        <v>18</v>
      </c>
      <c r="N121" s="13"/>
      <c r="O121" s="14"/>
    </row>
    <row r="122" spans="1:15">
      <c r="A122" s="63" t="s">
        <v>913</v>
      </c>
      <c r="B122" s="63" t="s">
        <v>914</v>
      </c>
      <c r="C122" s="35" t="s">
        <v>154</v>
      </c>
      <c r="D122" s="28" t="s">
        <v>992</v>
      </c>
      <c r="E122" s="29" t="s">
        <v>986</v>
      </c>
      <c r="F122" s="36" t="s">
        <v>942</v>
      </c>
      <c r="G122" s="28" t="s">
        <v>992</v>
      </c>
      <c r="H122" s="29" t="s">
        <v>986</v>
      </c>
      <c r="I122" s="36" t="s">
        <v>942</v>
      </c>
      <c r="J122" s="34" t="s">
        <v>18</v>
      </c>
      <c r="K122" s="25" t="s">
        <v>7</v>
      </c>
      <c r="L122" s="29" t="s">
        <v>946</v>
      </c>
      <c r="M122" s="25" t="s">
        <v>18</v>
      </c>
      <c r="N122" s="13" t="s">
        <v>979</v>
      </c>
      <c r="O122" s="14" t="s">
        <v>154</v>
      </c>
    </row>
    <row r="123" spans="1:15" s="55" customFormat="1">
      <c r="A123" s="63"/>
      <c r="B123" s="63"/>
      <c r="C123" s="35" t="s">
        <v>1091</v>
      </c>
      <c r="D123" s="28" t="s">
        <v>992</v>
      </c>
      <c r="E123" s="29" t="s">
        <v>986</v>
      </c>
      <c r="F123" s="30" t="s">
        <v>1097</v>
      </c>
      <c r="G123" s="28" t="s">
        <v>992</v>
      </c>
      <c r="H123" s="29" t="s">
        <v>986</v>
      </c>
      <c r="I123" s="30" t="s">
        <v>1097</v>
      </c>
      <c r="J123" s="34" t="s">
        <v>18</v>
      </c>
      <c r="K123" s="25" t="s">
        <v>7</v>
      </c>
      <c r="L123" s="29" t="s">
        <v>946</v>
      </c>
      <c r="M123" s="25" t="s">
        <v>18</v>
      </c>
      <c r="N123" s="13"/>
      <c r="O123" s="14"/>
    </row>
    <row r="124" spans="1:15">
      <c r="A124" s="63" t="s">
        <v>915</v>
      </c>
      <c r="B124" s="63" t="s">
        <v>916</v>
      </c>
      <c r="C124" s="35" t="s">
        <v>935</v>
      </c>
      <c r="D124" s="28" t="s">
        <v>992</v>
      </c>
      <c r="E124" s="29" t="s">
        <v>986</v>
      </c>
      <c r="F124" s="36" t="s">
        <v>942</v>
      </c>
      <c r="G124" s="28" t="s">
        <v>992</v>
      </c>
      <c r="H124" s="29" t="s">
        <v>986</v>
      </c>
      <c r="I124" s="36" t="s">
        <v>942</v>
      </c>
      <c r="J124" s="34" t="s">
        <v>18</v>
      </c>
      <c r="K124" s="25" t="s">
        <v>7</v>
      </c>
      <c r="L124" s="29" t="s">
        <v>946</v>
      </c>
      <c r="M124" s="25" t="s">
        <v>18</v>
      </c>
      <c r="N124" s="13" t="s">
        <v>980</v>
      </c>
      <c r="O124" s="14" t="s">
        <v>935</v>
      </c>
    </row>
    <row r="125" spans="1:15" s="55" customFormat="1">
      <c r="A125" s="63"/>
      <c r="B125" s="63"/>
      <c r="C125" s="35" t="s">
        <v>1092</v>
      </c>
      <c r="D125" s="28" t="s">
        <v>992</v>
      </c>
      <c r="E125" s="29" t="s">
        <v>986</v>
      </c>
      <c r="F125" s="30" t="s">
        <v>1097</v>
      </c>
      <c r="G125" s="28" t="s">
        <v>992</v>
      </c>
      <c r="H125" s="29" t="s">
        <v>986</v>
      </c>
      <c r="I125" s="30" t="s">
        <v>1097</v>
      </c>
      <c r="J125" s="34" t="s">
        <v>18</v>
      </c>
      <c r="K125" s="25" t="s">
        <v>7</v>
      </c>
      <c r="L125" s="29" t="s">
        <v>946</v>
      </c>
      <c r="M125" s="25" t="s">
        <v>18</v>
      </c>
      <c r="N125" s="13"/>
      <c r="O125" s="14"/>
    </row>
    <row r="126" spans="1:15">
      <c r="A126" s="63" t="s">
        <v>917</v>
      </c>
      <c r="B126" s="63" t="s">
        <v>918</v>
      </c>
      <c r="C126" s="35" t="s">
        <v>356</v>
      </c>
      <c r="D126" s="28" t="s">
        <v>992</v>
      </c>
      <c r="E126" s="29" t="s">
        <v>986</v>
      </c>
      <c r="F126" s="36" t="s">
        <v>942</v>
      </c>
      <c r="G126" s="28" t="s">
        <v>992</v>
      </c>
      <c r="H126" s="29" t="s">
        <v>986</v>
      </c>
      <c r="I126" s="36" t="s">
        <v>942</v>
      </c>
      <c r="J126" s="34" t="s">
        <v>18</v>
      </c>
      <c r="K126" s="25" t="s">
        <v>7</v>
      </c>
      <c r="L126" s="29" t="s">
        <v>946</v>
      </c>
      <c r="M126" s="25" t="s">
        <v>18</v>
      </c>
      <c r="N126" s="13" t="s">
        <v>981</v>
      </c>
      <c r="O126" s="14" t="s">
        <v>356</v>
      </c>
    </row>
    <row r="127" spans="1:15" s="55" customFormat="1">
      <c r="A127" s="63"/>
      <c r="B127" s="63"/>
      <c r="C127" s="35" t="s">
        <v>1093</v>
      </c>
      <c r="D127" s="28" t="s">
        <v>992</v>
      </c>
      <c r="E127" s="29" t="s">
        <v>986</v>
      </c>
      <c r="F127" s="30" t="s">
        <v>1097</v>
      </c>
      <c r="G127" s="28" t="s">
        <v>992</v>
      </c>
      <c r="H127" s="29" t="s">
        <v>986</v>
      </c>
      <c r="I127" s="30" t="s">
        <v>1097</v>
      </c>
      <c r="J127" s="34" t="s">
        <v>18</v>
      </c>
      <c r="K127" s="25" t="s">
        <v>7</v>
      </c>
      <c r="L127" s="29" t="s">
        <v>946</v>
      </c>
      <c r="M127" s="25" t="s">
        <v>18</v>
      </c>
      <c r="N127" s="13"/>
      <c r="O127" s="14"/>
    </row>
    <row r="128" spans="1:15">
      <c r="A128" s="63" t="s">
        <v>919</v>
      </c>
      <c r="B128" s="63" t="s">
        <v>920</v>
      </c>
      <c r="C128" s="35" t="s">
        <v>357</v>
      </c>
      <c r="D128" s="28" t="s">
        <v>992</v>
      </c>
      <c r="E128" s="29" t="s">
        <v>986</v>
      </c>
      <c r="F128" s="36" t="s">
        <v>942</v>
      </c>
      <c r="G128" s="28" t="s">
        <v>992</v>
      </c>
      <c r="H128" s="29" t="s">
        <v>986</v>
      </c>
      <c r="I128" s="36" t="s">
        <v>942</v>
      </c>
      <c r="J128" s="34" t="s">
        <v>18</v>
      </c>
      <c r="K128" s="25" t="s">
        <v>7</v>
      </c>
      <c r="L128" s="29" t="s">
        <v>946</v>
      </c>
      <c r="M128" s="25" t="s">
        <v>18</v>
      </c>
      <c r="N128" s="13" t="s">
        <v>982</v>
      </c>
      <c r="O128" s="14" t="s">
        <v>357</v>
      </c>
    </row>
    <row r="129" spans="1:15" s="55" customFormat="1">
      <c r="A129" s="63"/>
      <c r="B129" s="63"/>
      <c r="C129" s="35" t="s">
        <v>1094</v>
      </c>
      <c r="D129" s="28" t="s">
        <v>992</v>
      </c>
      <c r="E129" s="29" t="s">
        <v>986</v>
      </c>
      <c r="F129" s="30" t="s">
        <v>1097</v>
      </c>
      <c r="G129" s="28" t="s">
        <v>992</v>
      </c>
      <c r="H129" s="29" t="s">
        <v>986</v>
      </c>
      <c r="I129" s="30" t="s">
        <v>1097</v>
      </c>
      <c r="J129" s="34" t="s">
        <v>18</v>
      </c>
      <c r="K129" s="25" t="s">
        <v>7</v>
      </c>
      <c r="L129" s="29" t="s">
        <v>946</v>
      </c>
      <c r="M129" s="25" t="s">
        <v>18</v>
      </c>
      <c r="N129" s="13"/>
      <c r="O129" s="14"/>
    </row>
    <row r="130" spans="1:15">
      <c r="A130" s="63" t="s">
        <v>921</v>
      </c>
      <c r="B130" s="63" t="s">
        <v>922</v>
      </c>
      <c r="C130" s="35" t="s">
        <v>358</v>
      </c>
      <c r="D130" s="28" t="s">
        <v>992</v>
      </c>
      <c r="E130" s="29" t="s">
        <v>986</v>
      </c>
      <c r="F130" s="36" t="s">
        <v>942</v>
      </c>
      <c r="G130" s="28" t="s">
        <v>992</v>
      </c>
      <c r="H130" s="29" t="s">
        <v>986</v>
      </c>
      <c r="I130" s="36" t="s">
        <v>942</v>
      </c>
      <c r="J130" s="34" t="s">
        <v>18</v>
      </c>
      <c r="K130" s="25" t="s">
        <v>7</v>
      </c>
      <c r="L130" s="29" t="s">
        <v>946</v>
      </c>
      <c r="M130" s="25" t="s">
        <v>18</v>
      </c>
      <c r="N130" s="13" t="s">
        <v>983</v>
      </c>
      <c r="O130" s="14" t="s">
        <v>358</v>
      </c>
    </row>
    <row r="131" spans="1:15" s="55" customFormat="1">
      <c r="A131" s="63"/>
      <c r="B131" s="63"/>
      <c r="C131" s="35" t="s">
        <v>1095</v>
      </c>
      <c r="D131" s="28" t="s">
        <v>1033</v>
      </c>
      <c r="E131" s="29" t="s">
        <v>986</v>
      </c>
      <c r="F131" s="30" t="s">
        <v>1097</v>
      </c>
      <c r="G131" s="28" t="s">
        <v>992</v>
      </c>
      <c r="H131" s="29" t="s">
        <v>986</v>
      </c>
      <c r="I131" s="30" t="s">
        <v>1097</v>
      </c>
      <c r="J131" s="34" t="s">
        <v>18</v>
      </c>
      <c r="K131" s="25" t="s">
        <v>7</v>
      </c>
      <c r="L131" s="29" t="s">
        <v>946</v>
      </c>
      <c r="M131" s="25" t="s">
        <v>18</v>
      </c>
      <c r="N131" s="13"/>
      <c r="O131" s="14"/>
    </row>
    <row r="132" spans="1:15">
      <c r="A132" s="63" t="s">
        <v>923</v>
      </c>
      <c r="B132" s="63" t="s">
        <v>924</v>
      </c>
      <c r="C132" s="35" t="s">
        <v>359</v>
      </c>
      <c r="D132" s="28" t="s">
        <v>992</v>
      </c>
      <c r="E132" s="29" t="s">
        <v>986</v>
      </c>
      <c r="F132" s="36" t="s">
        <v>942</v>
      </c>
      <c r="G132" s="28" t="s">
        <v>992</v>
      </c>
      <c r="H132" s="29" t="s">
        <v>986</v>
      </c>
      <c r="I132" s="36" t="s">
        <v>942</v>
      </c>
      <c r="J132" s="34" t="s">
        <v>18</v>
      </c>
      <c r="K132" s="25" t="s">
        <v>7</v>
      </c>
      <c r="L132" s="29" t="s">
        <v>946</v>
      </c>
      <c r="M132" s="25" t="s">
        <v>18</v>
      </c>
      <c r="N132" s="13" t="s">
        <v>984</v>
      </c>
      <c r="O132" s="14" t="s">
        <v>359</v>
      </c>
    </row>
    <row r="133" spans="1:15" s="55" customFormat="1">
      <c r="A133" s="63"/>
      <c r="B133" s="63"/>
      <c r="C133" s="35" t="s">
        <v>1036</v>
      </c>
      <c r="D133" s="28" t="s">
        <v>1033</v>
      </c>
      <c r="E133" s="29" t="s">
        <v>986</v>
      </c>
      <c r="F133" s="30" t="s">
        <v>1097</v>
      </c>
      <c r="G133" s="28" t="s">
        <v>992</v>
      </c>
      <c r="H133" s="29" t="s">
        <v>986</v>
      </c>
      <c r="I133" s="30" t="s">
        <v>1097</v>
      </c>
      <c r="J133" s="34" t="s">
        <v>18</v>
      </c>
      <c r="K133" s="25" t="s">
        <v>7</v>
      </c>
      <c r="L133" s="29" t="s">
        <v>946</v>
      </c>
      <c r="M133" s="25" t="s">
        <v>18</v>
      </c>
      <c r="N133" s="13"/>
      <c r="O133" s="14"/>
    </row>
    <row r="134" spans="1:15">
      <c r="A134" s="63" t="s">
        <v>925</v>
      </c>
      <c r="B134" s="63" t="s">
        <v>926</v>
      </c>
      <c r="C134" s="35" t="s">
        <v>360</v>
      </c>
      <c r="D134" s="28" t="s">
        <v>992</v>
      </c>
      <c r="E134" s="29" t="s">
        <v>986</v>
      </c>
      <c r="F134" s="36" t="s">
        <v>942</v>
      </c>
      <c r="G134" s="28" t="s">
        <v>992</v>
      </c>
      <c r="H134" s="29" t="s">
        <v>986</v>
      </c>
      <c r="I134" s="36" t="s">
        <v>942</v>
      </c>
      <c r="J134" s="34" t="s">
        <v>18</v>
      </c>
      <c r="K134" s="25" t="s">
        <v>7</v>
      </c>
      <c r="L134" s="29" t="s">
        <v>946</v>
      </c>
      <c r="M134" s="25" t="s">
        <v>18</v>
      </c>
      <c r="N134" s="13" t="s">
        <v>985</v>
      </c>
      <c r="O134" s="14" t="s">
        <v>360</v>
      </c>
    </row>
    <row r="135" spans="1:15">
      <c r="A135" s="25"/>
      <c r="B135" s="33"/>
      <c r="C135" s="35" t="s">
        <v>1035</v>
      </c>
      <c r="D135" s="28" t="s">
        <v>1033</v>
      </c>
      <c r="E135" s="29" t="s">
        <v>986</v>
      </c>
      <c r="F135" s="30" t="s">
        <v>1097</v>
      </c>
      <c r="G135" s="28" t="s">
        <v>992</v>
      </c>
      <c r="H135" s="29" t="s">
        <v>986</v>
      </c>
      <c r="I135" s="30" t="s">
        <v>1097</v>
      </c>
      <c r="J135" s="34" t="s">
        <v>18</v>
      </c>
      <c r="K135" s="25" t="s">
        <v>7</v>
      </c>
      <c r="L135" s="29" t="s">
        <v>946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O135"/>
  <sheetViews>
    <sheetView zoomScaleNormal="100" workbookViewId="0">
      <selection activeCell="D4" sqref="D4"/>
    </sheetView>
  </sheetViews>
  <sheetFormatPr defaultColWidth="8.88671875" defaultRowHeight="12"/>
  <cols>
    <col min="1" max="1" width="13.77734375" style="11" bestFit="1" customWidth="1"/>
    <col min="2" max="2" width="10.77734375" style="11" bestFit="1" customWidth="1"/>
    <col min="3" max="3" width="13" style="11" customWidth="1"/>
    <col min="4" max="4" width="4.6640625" style="11" bestFit="1" customWidth="1"/>
    <col min="5" max="5" width="4.5546875" style="11" customWidth="1"/>
    <col min="6" max="6" width="5.33203125" style="11" bestFit="1" customWidth="1"/>
    <col min="7" max="7" width="4.88671875" style="11" customWidth="1"/>
    <col min="8" max="8" width="5.21875" style="11" customWidth="1"/>
    <col min="9" max="9" width="6.5546875" style="11" customWidth="1"/>
    <col min="10" max="10" width="5.5546875" style="11" customWidth="1"/>
    <col min="11" max="11" width="10" style="11" customWidth="1"/>
    <col min="12" max="12" width="8.88671875" style="11" customWidth="1"/>
    <col min="13" max="13" width="9.109375" style="11" customWidth="1"/>
    <col min="14" max="14" width="7.109375" style="11" customWidth="1"/>
    <col min="15" max="15" width="29.5546875" style="11" bestFit="1" customWidth="1"/>
    <col min="16" max="16384" width="8.88671875" style="11"/>
  </cols>
  <sheetData>
    <row r="1" spans="1:15" ht="15.75">
      <c r="A1" s="1" t="s">
        <v>537</v>
      </c>
      <c r="B1" s="53" t="s">
        <v>996</v>
      </c>
      <c r="C1" s="54" t="s">
        <v>890</v>
      </c>
      <c r="D1" s="55"/>
      <c r="E1" s="55"/>
      <c r="F1" s="55"/>
      <c r="G1" s="55"/>
      <c r="J1" s="10"/>
      <c r="K1" s="10"/>
      <c r="L1" s="10"/>
    </row>
    <row r="2" spans="1:15" ht="15.75">
      <c r="A2" s="1" t="s">
        <v>540</v>
      </c>
      <c r="B2" s="53" t="s">
        <v>891</v>
      </c>
      <c r="C2" s="55"/>
      <c r="D2" s="55"/>
      <c r="E2" s="55"/>
      <c r="F2" s="55"/>
      <c r="G2" s="55"/>
      <c r="J2" s="10"/>
      <c r="K2" s="10"/>
      <c r="L2" s="10"/>
    </row>
    <row r="3" spans="1:15" ht="15.75">
      <c r="A3" s="2" t="s">
        <v>542</v>
      </c>
      <c r="B3" s="12">
        <v>1</v>
      </c>
      <c r="C3" s="55"/>
      <c r="D3" s="55"/>
      <c r="E3" s="55"/>
      <c r="F3" s="55"/>
      <c r="G3" s="55"/>
      <c r="J3" s="10"/>
      <c r="K3" s="10"/>
      <c r="L3" s="10"/>
    </row>
    <row r="4" spans="1:15" ht="15.75">
      <c r="A4" s="2" t="s">
        <v>543</v>
      </c>
      <c r="B4" s="12">
        <v>13</v>
      </c>
      <c r="C4" s="55"/>
      <c r="D4" s="55"/>
      <c r="E4" s="55"/>
      <c r="F4" s="55"/>
      <c r="G4" s="55"/>
      <c r="J4" s="10"/>
      <c r="K4" s="10"/>
      <c r="L4" s="10"/>
    </row>
    <row r="5" spans="1:15" ht="23.25" customHeight="1">
      <c r="A5" s="4" t="s">
        <v>544</v>
      </c>
      <c r="B5" s="12" t="s">
        <v>15</v>
      </c>
      <c r="C5" s="107" t="s">
        <v>892</v>
      </c>
      <c r="D5" s="53" t="s">
        <v>997</v>
      </c>
      <c r="E5" s="55"/>
      <c r="F5" s="55"/>
      <c r="G5" s="55"/>
      <c r="J5" s="10"/>
      <c r="K5" s="10"/>
      <c r="L5" s="10"/>
    </row>
    <row r="6" spans="1:15" ht="23.25" thickBot="1">
      <c r="A6" s="4" t="s">
        <v>545</v>
      </c>
      <c r="B6" s="12" t="s">
        <v>15</v>
      </c>
      <c r="C6" s="55"/>
      <c r="D6" s="55"/>
      <c r="E6" s="55"/>
      <c r="F6" s="55"/>
      <c r="G6" s="55"/>
      <c r="O6" s="84" t="s">
        <v>362</v>
      </c>
    </row>
    <row r="7" spans="1:15" ht="33.75" customHeight="1">
      <c r="A7" s="15" t="s">
        <v>439</v>
      </c>
      <c r="B7" s="16" t="s">
        <v>445</v>
      </c>
      <c r="C7" s="17" t="s">
        <v>446</v>
      </c>
      <c r="D7" s="123" t="s">
        <v>447</v>
      </c>
      <c r="E7" s="124"/>
      <c r="F7" s="125"/>
      <c r="G7" s="124" t="s">
        <v>448</v>
      </c>
      <c r="H7" s="124"/>
      <c r="I7" s="125"/>
      <c r="J7" s="18" t="s">
        <v>440</v>
      </c>
      <c r="K7" s="15" t="s">
        <v>441</v>
      </c>
      <c r="L7" s="19" t="s">
        <v>442</v>
      </c>
      <c r="M7" s="19" t="s">
        <v>443</v>
      </c>
      <c r="N7" s="66" t="s">
        <v>894</v>
      </c>
      <c r="O7" s="21" t="s">
        <v>1318</v>
      </c>
    </row>
    <row r="8" spans="1:15" ht="22.5">
      <c r="A8" s="15"/>
      <c r="B8" s="16"/>
      <c r="C8" s="24"/>
      <c r="D8" s="22" t="s">
        <v>449</v>
      </c>
      <c r="E8" s="19" t="s">
        <v>450</v>
      </c>
      <c r="F8" s="23" t="s">
        <v>451</v>
      </c>
      <c r="G8" s="15" t="s">
        <v>449</v>
      </c>
      <c r="H8" s="19" t="s">
        <v>450</v>
      </c>
      <c r="I8" s="23" t="s">
        <v>452</v>
      </c>
      <c r="J8" s="18"/>
      <c r="K8" s="15"/>
      <c r="L8" s="19"/>
      <c r="M8" s="19"/>
      <c r="N8" s="20"/>
      <c r="O8" s="21"/>
    </row>
    <row r="9" spans="1:15">
      <c r="A9" s="25" t="s">
        <v>394</v>
      </c>
      <c r="B9" s="26" t="s">
        <v>998</v>
      </c>
      <c r="C9" s="27" t="s">
        <v>988</v>
      </c>
      <c r="D9" s="28" t="s">
        <v>987</v>
      </c>
      <c r="E9" s="29" t="s">
        <v>986</v>
      </c>
      <c r="F9" s="30" t="s">
        <v>999</v>
      </c>
      <c r="G9" s="28" t="s">
        <v>990</v>
      </c>
      <c r="H9" s="29" t="s">
        <v>986</v>
      </c>
      <c r="I9" s="30" t="s">
        <v>1000</v>
      </c>
      <c r="J9" s="31" t="s">
        <v>18</v>
      </c>
      <c r="K9" s="29" t="s">
        <v>7</v>
      </c>
      <c r="L9" s="29" t="s">
        <v>946</v>
      </c>
      <c r="M9" s="29" t="s">
        <v>18</v>
      </c>
      <c r="N9" s="13" t="s">
        <v>947</v>
      </c>
      <c r="O9" s="14" t="s">
        <v>1120</v>
      </c>
    </row>
    <row r="10" spans="1:15">
      <c r="A10" s="25" t="s">
        <v>395</v>
      </c>
      <c r="B10" s="26" t="s">
        <v>85</v>
      </c>
      <c r="C10" s="27" t="s">
        <v>1002</v>
      </c>
      <c r="D10" s="28" t="s">
        <v>987</v>
      </c>
      <c r="E10" s="29" t="s">
        <v>986</v>
      </c>
      <c r="F10" s="32" t="s">
        <v>999</v>
      </c>
      <c r="G10" s="28" t="s">
        <v>990</v>
      </c>
      <c r="H10" s="29" t="s">
        <v>986</v>
      </c>
      <c r="I10" s="30" t="s">
        <v>1000</v>
      </c>
      <c r="J10" s="31" t="s">
        <v>18</v>
      </c>
      <c r="K10" s="29" t="s">
        <v>7</v>
      </c>
      <c r="L10" s="29" t="s">
        <v>946</v>
      </c>
      <c r="M10" s="29" t="s">
        <v>18</v>
      </c>
      <c r="N10" s="13" t="s">
        <v>948</v>
      </c>
      <c r="O10" s="14" t="s">
        <v>1002</v>
      </c>
    </row>
    <row r="11" spans="1:15">
      <c r="A11" s="25" t="s">
        <v>396</v>
      </c>
      <c r="B11" s="33" t="s">
        <v>353</v>
      </c>
      <c r="C11" s="27" t="s">
        <v>1003</v>
      </c>
      <c r="D11" s="28" t="s">
        <v>987</v>
      </c>
      <c r="E11" s="29" t="s">
        <v>986</v>
      </c>
      <c r="F11" s="30" t="s">
        <v>999</v>
      </c>
      <c r="G11" s="28" t="s">
        <v>990</v>
      </c>
      <c r="H11" s="29" t="s">
        <v>986</v>
      </c>
      <c r="I11" s="30" t="s">
        <v>1000</v>
      </c>
      <c r="J11" s="34" t="s">
        <v>18</v>
      </c>
      <c r="K11" s="25" t="s">
        <v>7</v>
      </c>
      <c r="L11" s="29" t="s">
        <v>946</v>
      </c>
      <c r="M11" s="25" t="s">
        <v>18</v>
      </c>
      <c r="N11" s="13" t="s">
        <v>949</v>
      </c>
      <c r="O11" s="14" t="s">
        <v>1003</v>
      </c>
    </row>
    <row r="12" spans="1:15">
      <c r="A12" s="25" t="s">
        <v>397</v>
      </c>
      <c r="B12" s="33" t="s">
        <v>180</v>
      </c>
      <c r="C12" s="27" t="s">
        <v>1004</v>
      </c>
      <c r="D12" s="28" t="s">
        <v>987</v>
      </c>
      <c r="E12" s="29" t="s">
        <v>986</v>
      </c>
      <c r="F12" s="32" t="s">
        <v>999</v>
      </c>
      <c r="G12" s="28" t="s">
        <v>990</v>
      </c>
      <c r="H12" s="29" t="s">
        <v>986</v>
      </c>
      <c r="I12" s="30" t="s">
        <v>1000</v>
      </c>
      <c r="J12" s="34" t="s">
        <v>18</v>
      </c>
      <c r="K12" s="25" t="s">
        <v>7</v>
      </c>
      <c r="L12" s="29" t="s">
        <v>946</v>
      </c>
      <c r="M12" s="25" t="s">
        <v>18</v>
      </c>
      <c r="N12" s="13" t="s">
        <v>950</v>
      </c>
      <c r="O12" s="14" t="s">
        <v>1004</v>
      </c>
    </row>
    <row r="13" spans="1:15">
      <c r="A13" s="25" t="s">
        <v>398</v>
      </c>
      <c r="B13" s="33" t="s">
        <v>399</v>
      </c>
      <c r="C13" s="27" t="s">
        <v>1005</v>
      </c>
      <c r="D13" s="28" t="s">
        <v>987</v>
      </c>
      <c r="E13" s="29" t="s">
        <v>986</v>
      </c>
      <c r="F13" s="30" t="s">
        <v>999</v>
      </c>
      <c r="G13" s="28" t="s">
        <v>990</v>
      </c>
      <c r="H13" s="29" t="s">
        <v>986</v>
      </c>
      <c r="I13" s="30" t="s">
        <v>1000</v>
      </c>
      <c r="J13" s="34" t="s">
        <v>18</v>
      </c>
      <c r="K13" s="25" t="s">
        <v>7</v>
      </c>
      <c r="L13" s="29" t="s">
        <v>946</v>
      </c>
      <c r="M13" s="25" t="s">
        <v>18</v>
      </c>
      <c r="N13" s="13" t="s">
        <v>951</v>
      </c>
      <c r="O13" s="14" t="s">
        <v>1005</v>
      </c>
    </row>
    <row r="14" spans="1:15">
      <c r="A14" s="25" t="s">
        <v>400</v>
      </c>
      <c r="B14" s="33" t="s">
        <v>191</v>
      </c>
      <c r="C14" s="27" t="s">
        <v>1006</v>
      </c>
      <c r="D14" s="28" t="s">
        <v>987</v>
      </c>
      <c r="E14" s="29" t="s">
        <v>986</v>
      </c>
      <c r="F14" s="32" t="s">
        <v>999</v>
      </c>
      <c r="G14" s="28" t="s">
        <v>990</v>
      </c>
      <c r="H14" s="29" t="s">
        <v>986</v>
      </c>
      <c r="I14" s="30" t="s">
        <v>1000</v>
      </c>
      <c r="J14" s="34" t="s">
        <v>18</v>
      </c>
      <c r="K14" s="25" t="s">
        <v>7</v>
      </c>
      <c r="L14" s="29" t="s">
        <v>946</v>
      </c>
      <c r="M14" s="25" t="s">
        <v>18</v>
      </c>
      <c r="N14" s="13" t="s">
        <v>952</v>
      </c>
      <c r="O14" s="14" t="s">
        <v>1006</v>
      </c>
    </row>
    <row r="15" spans="1:15">
      <c r="A15" s="25" t="s">
        <v>401</v>
      </c>
      <c r="B15" s="33" t="s">
        <v>174</v>
      </c>
      <c r="C15" s="27" t="s">
        <v>1007</v>
      </c>
      <c r="D15" s="28" t="s">
        <v>987</v>
      </c>
      <c r="E15" s="29" t="s">
        <v>986</v>
      </c>
      <c r="F15" s="30" t="s">
        <v>999</v>
      </c>
      <c r="G15" s="28" t="s">
        <v>990</v>
      </c>
      <c r="H15" s="29" t="s">
        <v>986</v>
      </c>
      <c r="I15" s="30" t="s">
        <v>1000</v>
      </c>
      <c r="J15" s="34" t="s">
        <v>18</v>
      </c>
      <c r="K15" s="25" t="s">
        <v>7</v>
      </c>
      <c r="L15" s="29" t="s">
        <v>946</v>
      </c>
      <c r="M15" s="25" t="s">
        <v>18</v>
      </c>
      <c r="N15" s="13" t="s">
        <v>953</v>
      </c>
      <c r="O15" s="14" t="s">
        <v>1007</v>
      </c>
    </row>
    <row r="16" spans="1:15">
      <c r="A16" s="25" t="s">
        <v>402</v>
      </c>
      <c r="B16" s="33" t="s">
        <v>403</v>
      </c>
      <c r="C16" s="27" t="s">
        <v>1008</v>
      </c>
      <c r="D16" s="28" t="s">
        <v>987</v>
      </c>
      <c r="E16" s="29" t="s">
        <v>986</v>
      </c>
      <c r="F16" s="32" t="s">
        <v>999</v>
      </c>
      <c r="G16" s="28" t="s">
        <v>990</v>
      </c>
      <c r="H16" s="29" t="s">
        <v>986</v>
      </c>
      <c r="I16" s="30" t="s">
        <v>1000</v>
      </c>
      <c r="J16" s="34" t="s">
        <v>18</v>
      </c>
      <c r="K16" s="25" t="s">
        <v>7</v>
      </c>
      <c r="L16" s="29" t="s">
        <v>946</v>
      </c>
      <c r="M16" s="25" t="s">
        <v>18</v>
      </c>
      <c r="N16" s="13" t="s">
        <v>954</v>
      </c>
      <c r="O16" s="14" t="s">
        <v>1008</v>
      </c>
    </row>
    <row r="17" spans="1:15">
      <c r="A17" s="25" t="s">
        <v>405</v>
      </c>
      <c r="B17" s="33" t="s">
        <v>136</v>
      </c>
      <c r="C17" s="27" t="s">
        <v>1009</v>
      </c>
      <c r="D17" s="28" t="s">
        <v>990</v>
      </c>
      <c r="E17" s="29" t="s">
        <v>986</v>
      </c>
      <c r="F17" s="30" t="s">
        <v>1000</v>
      </c>
      <c r="G17" s="28" t="s">
        <v>990</v>
      </c>
      <c r="H17" s="29" t="s">
        <v>986</v>
      </c>
      <c r="I17" s="30" t="s">
        <v>1000</v>
      </c>
      <c r="J17" s="34" t="s">
        <v>18</v>
      </c>
      <c r="K17" s="25" t="s">
        <v>7</v>
      </c>
      <c r="L17" s="29">
        <v>8</v>
      </c>
      <c r="M17" s="25" t="s">
        <v>18</v>
      </c>
      <c r="N17" s="13" t="s">
        <v>955</v>
      </c>
      <c r="O17" s="14" t="s">
        <v>1009</v>
      </c>
    </row>
    <row r="18" spans="1:15">
      <c r="A18" s="25" t="s">
        <v>406</v>
      </c>
      <c r="B18" s="33" t="s">
        <v>354</v>
      </c>
      <c r="C18" s="27" t="s">
        <v>1010</v>
      </c>
      <c r="D18" s="28" t="s">
        <v>987</v>
      </c>
      <c r="E18" s="29" t="s">
        <v>986</v>
      </c>
      <c r="F18" s="32" t="s">
        <v>999</v>
      </c>
      <c r="G18" s="28" t="s">
        <v>990</v>
      </c>
      <c r="H18" s="29" t="s">
        <v>986</v>
      </c>
      <c r="I18" s="30" t="s">
        <v>1000</v>
      </c>
      <c r="J18" s="34" t="s">
        <v>18</v>
      </c>
      <c r="K18" s="25" t="s">
        <v>7</v>
      </c>
      <c r="L18" s="29">
        <v>8</v>
      </c>
      <c r="M18" s="25" t="s">
        <v>18</v>
      </c>
      <c r="N18" s="13" t="s">
        <v>956</v>
      </c>
      <c r="O18" s="14" t="s">
        <v>1010</v>
      </c>
    </row>
    <row r="19" spans="1:15">
      <c r="A19" s="25" t="s">
        <v>408</v>
      </c>
      <c r="B19" s="33" t="s">
        <v>355</v>
      </c>
      <c r="C19" s="27" t="s">
        <v>1011</v>
      </c>
      <c r="D19" s="28" t="s">
        <v>1033</v>
      </c>
      <c r="E19" s="29" t="s">
        <v>986</v>
      </c>
      <c r="F19" s="30" t="s">
        <v>945</v>
      </c>
      <c r="G19" s="28" t="s">
        <v>1034</v>
      </c>
      <c r="H19" s="29" t="s">
        <v>986</v>
      </c>
      <c r="I19" s="30" t="s">
        <v>1001</v>
      </c>
      <c r="J19" s="34" t="s">
        <v>18</v>
      </c>
      <c r="K19" s="25" t="s">
        <v>7</v>
      </c>
      <c r="L19" s="29">
        <v>8</v>
      </c>
      <c r="M19" s="25" t="s">
        <v>18</v>
      </c>
      <c r="N19" s="13" t="s">
        <v>957</v>
      </c>
      <c r="O19" s="14" t="s">
        <v>1011</v>
      </c>
    </row>
    <row r="20" spans="1:15">
      <c r="A20" s="25" t="s">
        <v>409</v>
      </c>
      <c r="B20" s="33" t="s">
        <v>410</v>
      </c>
      <c r="C20" s="27" t="s">
        <v>404</v>
      </c>
      <c r="D20" s="28" t="s">
        <v>1033</v>
      </c>
      <c r="E20" s="29" t="s">
        <v>986</v>
      </c>
      <c r="F20" s="32" t="s">
        <v>945</v>
      </c>
      <c r="G20" s="28" t="s">
        <v>1033</v>
      </c>
      <c r="H20" s="29" t="s">
        <v>986</v>
      </c>
      <c r="I20" s="32" t="s">
        <v>945</v>
      </c>
      <c r="J20" s="34" t="s">
        <v>18</v>
      </c>
      <c r="K20" s="25" t="s">
        <v>7</v>
      </c>
      <c r="L20" s="29">
        <v>8</v>
      </c>
      <c r="M20" s="25" t="s">
        <v>18</v>
      </c>
      <c r="N20" s="13" t="s">
        <v>958</v>
      </c>
      <c r="O20" s="14" t="s">
        <v>404</v>
      </c>
    </row>
    <row r="21" spans="1:15">
      <c r="A21" s="25" t="s">
        <v>411</v>
      </c>
      <c r="B21" s="33" t="s">
        <v>176</v>
      </c>
      <c r="C21" s="27" t="s">
        <v>153</v>
      </c>
      <c r="D21" s="28" t="s">
        <v>1034</v>
      </c>
      <c r="E21" s="29" t="s">
        <v>986</v>
      </c>
      <c r="F21" s="30" t="s">
        <v>1001</v>
      </c>
      <c r="G21" s="28" t="s">
        <v>1034</v>
      </c>
      <c r="H21" s="29" t="s">
        <v>986</v>
      </c>
      <c r="I21" s="30" t="s">
        <v>1001</v>
      </c>
      <c r="J21" s="34" t="s">
        <v>18</v>
      </c>
      <c r="K21" s="25" t="s">
        <v>7</v>
      </c>
      <c r="L21" s="29">
        <v>8</v>
      </c>
      <c r="M21" s="25" t="s">
        <v>18</v>
      </c>
      <c r="N21" s="13" t="s">
        <v>959</v>
      </c>
      <c r="O21" s="14" t="s">
        <v>153</v>
      </c>
    </row>
    <row r="22" spans="1:15">
      <c r="A22" s="25" t="s">
        <v>412</v>
      </c>
      <c r="B22" s="33" t="s">
        <v>151</v>
      </c>
      <c r="C22" s="27" t="s">
        <v>407</v>
      </c>
      <c r="D22" s="28" t="s">
        <v>1033</v>
      </c>
      <c r="E22" s="29" t="s">
        <v>986</v>
      </c>
      <c r="F22" s="32" t="s">
        <v>945</v>
      </c>
      <c r="G22" s="28" t="s">
        <v>1033</v>
      </c>
      <c r="H22" s="29" t="s">
        <v>986</v>
      </c>
      <c r="I22" s="32" t="s">
        <v>945</v>
      </c>
      <c r="J22" s="34" t="s">
        <v>18</v>
      </c>
      <c r="K22" s="25" t="s">
        <v>7</v>
      </c>
      <c r="L22" s="29">
        <v>8</v>
      </c>
      <c r="M22" s="25" t="s">
        <v>18</v>
      </c>
      <c r="N22" s="13" t="s">
        <v>960</v>
      </c>
      <c r="O22" s="14" t="s">
        <v>407</v>
      </c>
    </row>
    <row r="23" spans="1:15">
      <c r="A23" s="63" t="s">
        <v>413</v>
      </c>
      <c r="B23" s="63" t="s">
        <v>168</v>
      </c>
      <c r="C23" s="27" t="s">
        <v>1121</v>
      </c>
      <c r="D23" s="28" t="s">
        <v>992</v>
      </c>
      <c r="E23" s="29" t="s">
        <v>986</v>
      </c>
      <c r="F23" s="30" t="s">
        <v>942</v>
      </c>
      <c r="G23" s="28" t="s">
        <v>992</v>
      </c>
      <c r="H23" s="29" t="s">
        <v>986</v>
      </c>
      <c r="I23" s="30" t="s">
        <v>942</v>
      </c>
      <c r="J23" s="34" t="s">
        <v>18</v>
      </c>
      <c r="K23" s="25" t="s">
        <v>7</v>
      </c>
      <c r="L23" s="29" t="s">
        <v>946</v>
      </c>
      <c r="M23" s="25" t="s">
        <v>18</v>
      </c>
      <c r="N23" s="13" t="s">
        <v>961</v>
      </c>
      <c r="O23" s="14" t="s">
        <v>1121</v>
      </c>
    </row>
    <row r="24" spans="1:15">
      <c r="A24" s="63"/>
      <c r="B24" s="63"/>
      <c r="C24" s="27" t="s">
        <v>1122</v>
      </c>
      <c r="D24" s="28" t="s">
        <v>992</v>
      </c>
      <c r="E24" s="29" t="s">
        <v>986</v>
      </c>
      <c r="F24" s="30" t="s">
        <v>1097</v>
      </c>
      <c r="G24" s="28" t="s">
        <v>992</v>
      </c>
      <c r="H24" s="29" t="s">
        <v>986</v>
      </c>
      <c r="I24" s="30" t="s">
        <v>1097</v>
      </c>
      <c r="J24" s="34" t="s">
        <v>18</v>
      </c>
      <c r="K24" s="25" t="s">
        <v>7</v>
      </c>
      <c r="L24" s="29" t="s">
        <v>946</v>
      </c>
      <c r="M24" s="25" t="s">
        <v>18</v>
      </c>
      <c r="N24" s="13"/>
      <c r="O24" s="14"/>
    </row>
    <row r="25" spans="1:15">
      <c r="A25" s="63"/>
      <c r="B25" s="63"/>
      <c r="C25" s="27" t="s">
        <v>1039</v>
      </c>
      <c r="D25" s="28" t="s">
        <v>992</v>
      </c>
      <c r="E25" s="29" t="s">
        <v>986</v>
      </c>
      <c r="F25" s="30" t="s">
        <v>1098</v>
      </c>
      <c r="G25" s="28" t="s">
        <v>992</v>
      </c>
      <c r="H25" s="29" t="s">
        <v>986</v>
      </c>
      <c r="I25" s="30" t="s">
        <v>1098</v>
      </c>
      <c r="J25" s="34" t="s">
        <v>18</v>
      </c>
      <c r="K25" s="25" t="s">
        <v>7</v>
      </c>
      <c r="L25" s="29" t="s">
        <v>946</v>
      </c>
      <c r="M25" s="25" t="s">
        <v>18</v>
      </c>
      <c r="N25" s="13"/>
      <c r="O25" s="14"/>
    </row>
    <row r="26" spans="1:15">
      <c r="A26" s="63"/>
      <c r="B26" s="63"/>
      <c r="C26" s="27" t="s">
        <v>1040</v>
      </c>
      <c r="D26" s="28" t="s">
        <v>992</v>
      </c>
      <c r="E26" s="29" t="s">
        <v>986</v>
      </c>
      <c r="F26" s="30" t="s">
        <v>1099</v>
      </c>
      <c r="G26" s="28" t="s">
        <v>992</v>
      </c>
      <c r="H26" s="29" t="s">
        <v>986</v>
      </c>
      <c r="I26" s="30" t="s">
        <v>1099</v>
      </c>
      <c r="J26" s="34" t="s">
        <v>18</v>
      </c>
      <c r="K26" s="25" t="s">
        <v>7</v>
      </c>
      <c r="L26" s="29" t="s">
        <v>946</v>
      </c>
      <c r="M26" s="25" t="s">
        <v>18</v>
      </c>
      <c r="N26" s="13"/>
      <c r="O26" s="14"/>
    </row>
    <row r="27" spans="1:15">
      <c r="A27" s="63" t="s">
        <v>414</v>
      </c>
      <c r="B27" s="63" t="s">
        <v>415</v>
      </c>
      <c r="C27" s="27" t="s">
        <v>457</v>
      </c>
      <c r="D27" s="28" t="s">
        <v>992</v>
      </c>
      <c r="E27" s="29" t="s">
        <v>986</v>
      </c>
      <c r="F27" s="32" t="s">
        <v>942</v>
      </c>
      <c r="G27" s="28" t="s">
        <v>992</v>
      </c>
      <c r="H27" s="29" t="s">
        <v>986</v>
      </c>
      <c r="I27" s="32" t="s">
        <v>942</v>
      </c>
      <c r="J27" s="34" t="s">
        <v>18</v>
      </c>
      <c r="K27" s="25" t="s">
        <v>7</v>
      </c>
      <c r="L27" s="29" t="s">
        <v>946</v>
      </c>
      <c r="M27" s="25" t="s">
        <v>18</v>
      </c>
      <c r="N27" s="13" t="s">
        <v>962</v>
      </c>
      <c r="O27" s="14" t="s">
        <v>457</v>
      </c>
    </row>
    <row r="28" spans="1:15">
      <c r="A28" s="63"/>
      <c r="B28" s="63"/>
      <c r="C28" s="27" t="s">
        <v>1044</v>
      </c>
      <c r="D28" s="28" t="s">
        <v>992</v>
      </c>
      <c r="E28" s="29" t="s">
        <v>986</v>
      </c>
      <c r="F28" s="30" t="s">
        <v>1097</v>
      </c>
      <c r="G28" s="28" t="s">
        <v>992</v>
      </c>
      <c r="H28" s="29" t="s">
        <v>986</v>
      </c>
      <c r="I28" s="30" t="s">
        <v>1097</v>
      </c>
      <c r="J28" s="34" t="s">
        <v>18</v>
      </c>
      <c r="K28" s="25" t="s">
        <v>7</v>
      </c>
      <c r="L28" s="29" t="s">
        <v>946</v>
      </c>
      <c r="M28" s="25" t="s">
        <v>18</v>
      </c>
      <c r="N28" s="13"/>
      <c r="O28" s="14"/>
    </row>
    <row r="29" spans="1:15">
      <c r="A29" s="63"/>
      <c r="B29" s="63"/>
      <c r="C29" s="27" t="s">
        <v>1041</v>
      </c>
      <c r="D29" s="28" t="s">
        <v>992</v>
      </c>
      <c r="E29" s="29" t="s">
        <v>986</v>
      </c>
      <c r="F29" s="30" t="s">
        <v>1098</v>
      </c>
      <c r="G29" s="28" t="s">
        <v>992</v>
      </c>
      <c r="H29" s="29" t="s">
        <v>986</v>
      </c>
      <c r="I29" s="30" t="s">
        <v>1098</v>
      </c>
      <c r="J29" s="34" t="s">
        <v>18</v>
      </c>
      <c r="K29" s="25" t="s">
        <v>7</v>
      </c>
      <c r="L29" s="29" t="s">
        <v>946</v>
      </c>
      <c r="M29" s="25" t="s">
        <v>18</v>
      </c>
      <c r="N29" s="13"/>
      <c r="O29" s="14"/>
    </row>
    <row r="30" spans="1:15">
      <c r="A30" s="63"/>
      <c r="B30" s="63"/>
      <c r="C30" s="27" t="s">
        <v>1042</v>
      </c>
      <c r="D30" s="28" t="s">
        <v>992</v>
      </c>
      <c r="E30" s="29" t="s">
        <v>986</v>
      </c>
      <c r="F30" s="30" t="s">
        <v>1099</v>
      </c>
      <c r="G30" s="28" t="s">
        <v>993</v>
      </c>
      <c r="H30" s="29" t="s">
        <v>986</v>
      </c>
      <c r="I30" s="30" t="s">
        <v>1100</v>
      </c>
      <c r="J30" s="34" t="s">
        <v>18</v>
      </c>
      <c r="K30" s="25" t="s">
        <v>7</v>
      </c>
      <c r="L30" s="29" t="s">
        <v>946</v>
      </c>
      <c r="M30" s="25" t="s">
        <v>18</v>
      </c>
      <c r="N30" s="13"/>
      <c r="O30" s="14"/>
    </row>
    <row r="31" spans="1:15">
      <c r="A31" s="63"/>
      <c r="B31" s="63"/>
      <c r="C31" s="27" t="s">
        <v>1043</v>
      </c>
      <c r="D31" s="28" t="s">
        <v>992</v>
      </c>
      <c r="E31" s="29" t="s">
        <v>986</v>
      </c>
      <c r="F31" s="30" t="s">
        <v>1101</v>
      </c>
      <c r="G31" s="28" t="s">
        <v>992</v>
      </c>
      <c r="H31" s="29" t="s">
        <v>986</v>
      </c>
      <c r="I31" s="30" t="s">
        <v>1101</v>
      </c>
      <c r="J31" s="34" t="s">
        <v>18</v>
      </c>
      <c r="K31" s="25" t="s">
        <v>7</v>
      </c>
      <c r="L31" s="29" t="s">
        <v>946</v>
      </c>
      <c r="M31" s="25" t="s">
        <v>18</v>
      </c>
      <c r="N31" s="13"/>
      <c r="O31" s="14"/>
    </row>
    <row r="32" spans="1:15">
      <c r="A32" s="63" t="s">
        <v>416</v>
      </c>
      <c r="B32" s="63" t="s">
        <v>177</v>
      </c>
      <c r="C32" s="35" t="s">
        <v>458</v>
      </c>
      <c r="D32" s="28" t="s">
        <v>992</v>
      </c>
      <c r="E32" s="29" t="s">
        <v>986</v>
      </c>
      <c r="F32" s="36" t="s">
        <v>942</v>
      </c>
      <c r="G32" s="28" t="s">
        <v>992</v>
      </c>
      <c r="H32" s="29" t="s">
        <v>986</v>
      </c>
      <c r="I32" s="36" t="s">
        <v>942</v>
      </c>
      <c r="J32" s="34" t="s">
        <v>18</v>
      </c>
      <c r="K32" s="25" t="s">
        <v>7</v>
      </c>
      <c r="L32" s="29" t="s">
        <v>946</v>
      </c>
      <c r="M32" s="25" t="s">
        <v>18</v>
      </c>
      <c r="N32" s="13" t="s">
        <v>963</v>
      </c>
      <c r="O32" s="14" t="s">
        <v>458</v>
      </c>
    </row>
    <row r="33" spans="1:15">
      <c r="A33" s="63"/>
      <c r="B33" s="63"/>
      <c r="C33" s="27" t="s">
        <v>1045</v>
      </c>
      <c r="D33" s="28" t="s">
        <v>992</v>
      </c>
      <c r="E33" s="29" t="s">
        <v>986</v>
      </c>
      <c r="F33" s="30" t="s">
        <v>1097</v>
      </c>
      <c r="G33" s="28" t="s">
        <v>992</v>
      </c>
      <c r="H33" s="29" t="s">
        <v>986</v>
      </c>
      <c r="I33" s="30" t="s">
        <v>1097</v>
      </c>
      <c r="J33" s="34" t="s">
        <v>18</v>
      </c>
      <c r="K33" s="25" t="s">
        <v>7</v>
      </c>
      <c r="L33" s="29" t="s">
        <v>946</v>
      </c>
      <c r="M33" s="25" t="s">
        <v>18</v>
      </c>
      <c r="N33" s="13"/>
      <c r="O33" s="14"/>
    </row>
    <row r="34" spans="1:15">
      <c r="A34" s="63"/>
      <c r="B34" s="63"/>
      <c r="C34" s="27" t="s">
        <v>1050</v>
      </c>
      <c r="D34" s="28" t="s">
        <v>992</v>
      </c>
      <c r="E34" s="29" t="s">
        <v>986</v>
      </c>
      <c r="F34" s="30" t="s">
        <v>1098</v>
      </c>
      <c r="G34" s="28" t="s">
        <v>992</v>
      </c>
      <c r="H34" s="29" t="s">
        <v>986</v>
      </c>
      <c r="I34" s="30" t="s">
        <v>1098</v>
      </c>
      <c r="J34" s="34" t="s">
        <v>18</v>
      </c>
      <c r="K34" s="25" t="s">
        <v>7</v>
      </c>
      <c r="L34" s="29" t="s">
        <v>946</v>
      </c>
      <c r="M34" s="25" t="s">
        <v>18</v>
      </c>
      <c r="N34" s="13"/>
      <c r="O34" s="14"/>
    </row>
    <row r="35" spans="1:15">
      <c r="A35" s="63"/>
      <c r="B35" s="63"/>
      <c r="C35" s="27" t="s">
        <v>1053</v>
      </c>
      <c r="D35" s="28" t="s">
        <v>992</v>
      </c>
      <c r="E35" s="29" t="s">
        <v>986</v>
      </c>
      <c r="F35" s="30" t="s">
        <v>1099</v>
      </c>
      <c r="G35" s="28" t="s">
        <v>1033</v>
      </c>
      <c r="H35" s="29" t="s">
        <v>986</v>
      </c>
      <c r="I35" s="30" t="s">
        <v>1099</v>
      </c>
      <c r="J35" s="34" t="s">
        <v>18</v>
      </c>
      <c r="K35" s="25" t="s">
        <v>7</v>
      </c>
      <c r="L35" s="29" t="s">
        <v>946</v>
      </c>
      <c r="M35" s="25" t="s">
        <v>18</v>
      </c>
      <c r="N35" s="13"/>
      <c r="O35" s="14"/>
    </row>
    <row r="36" spans="1:15">
      <c r="A36" s="63"/>
      <c r="B36" s="63"/>
      <c r="C36" s="27" t="s">
        <v>1054</v>
      </c>
      <c r="D36" s="28" t="s">
        <v>992</v>
      </c>
      <c r="E36" s="29" t="s">
        <v>986</v>
      </c>
      <c r="F36" s="30" t="s">
        <v>1101</v>
      </c>
      <c r="G36" s="28" t="s">
        <v>992</v>
      </c>
      <c r="H36" s="29" t="s">
        <v>986</v>
      </c>
      <c r="I36" s="30" t="s">
        <v>1101</v>
      </c>
      <c r="J36" s="34" t="s">
        <v>18</v>
      </c>
      <c r="K36" s="25" t="s">
        <v>7</v>
      </c>
      <c r="L36" s="29" t="s">
        <v>946</v>
      </c>
      <c r="M36" s="25" t="s">
        <v>18</v>
      </c>
      <c r="N36" s="13"/>
      <c r="O36" s="14"/>
    </row>
    <row r="37" spans="1:15">
      <c r="A37" s="63" t="s">
        <v>417</v>
      </c>
      <c r="B37" s="63" t="s">
        <v>346</v>
      </c>
      <c r="C37" s="35" t="s">
        <v>459</v>
      </c>
      <c r="D37" s="28" t="s">
        <v>992</v>
      </c>
      <c r="E37" s="29" t="s">
        <v>986</v>
      </c>
      <c r="F37" s="36" t="s">
        <v>942</v>
      </c>
      <c r="G37" s="28" t="s">
        <v>993</v>
      </c>
      <c r="H37" s="29" t="s">
        <v>986</v>
      </c>
      <c r="I37" s="32" t="s">
        <v>943</v>
      </c>
      <c r="J37" s="34" t="s">
        <v>18</v>
      </c>
      <c r="K37" s="25" t="s">
        <v>7</v>
      </c>
      <c r="L37" s="29" t="s">
        <v>946</v>
      </c>
      <c r="M37" s="25" t="s">
        <v>18</v>
      </c>
      <c r="N37" s="13" t="s">
        <v>964</v>
      </c>
      <c r="O37" s="14" t="s">
        <v>459</v>
      </c>
    </row>
    <row r="38" spans="1:15">
      <c r="A38" s="63"/>
      <c r="B38" s="63"/>
      <c r="C38" s="27" t="s">
        <v>1046</v>
      </c>
      <c r="D38" s="28" t="s">
        <v>992</v>
      </c>
      <c r="E38" s="29" t="s">
        <v>986</v>
      </c>
      <c r="F38" s="30" t="s">
        <v>1097</v>
      </c>
      <c r="G38" s="28" t="s">
        <v>992</v>
      </c>
      <c r="H38" s="29" t="s">
        <v>986</v>
      </c>
      <c r="I38" s="30" t="s">
        <v>1097</v>
      </c>
      <c r="J38" s="34" t="s">
        <v>18</v>
      </c>
      <c r="K38" s="25" t="s">
        <v>7</v>
      </c>
      <c r="L38" s="29" t="s">
        <v>946</v>
      </c>
      <c r="M38" s="25" t="s">
        <v>18</v>
      </c>
      <c r="N38" s="13"/>
      <c r="O38" s="14"/>
    </row>
    <row r="39" spans="1:15">
      <c r="A39" s="63"/>
      <c r="B39" s="63"/>
      <c r="C39" s="27" t="s">
        <v>1049</v>
      </c>
      <c r="D39" s="28" t="s">
        <v>992</v>
      </c>
      <c r="E39" s="29" t="s">
        <v>986</v>
      </c>
      <c r="F39" s="30" t="s">
        <v>1098</v>
      </c>
      <c r="G39" s="28" t="s">
        <v>992</v>
      </c>
      <c r="H39" s="29" t="s">
        <v>986</v>
      </c>
      <c r="I39" s="30" t="s">
        <v>1098</v>
      </c>
      <c r="J39" s="34" t="s">
        <v>18</v>
      </c>
      <c r="K39" s="25" t="s">
        <v>7</v>
      </c>
      <c r="L39" s="29" t="s">
        <v>946</v>
      </c>
      <c r="M39" s="25" t="s">
        <v>18</v>
      </c>
      <c r="N39" s="13"/>
      <c r="O39" s="14"/>
    </row>
    <row r="40" spans="1:15">
      <c r="A40" s="63"/>
      <c r="B40" s="63"/>
      <c r="C40" s="27" t="s">
        <v>1052</v>
      </c>
      <c r="D40" s="28" t="s">
        <v>992</v>
      </c>
      <c r="E40" s="29" t="s">
        <v>986</v>
      </c>
      <c r="F40" s="30" t="s">
        <v>1099</v>
      </c>
      <c r="G40" s="28" t="s">
        <v>993</v>
      </c>
      <c r="H40" s="29" t="s">
        <v>986</v>
      </c>
      <c r="I40" s="30" t="s">
        <v>1099</v>
      </c>
      <c r="J40" s="34" t="s">
        <v>18</v>
      </c>
      <c r="K40" s="25" t="s">
        <v>7</v>
      </c>
      <c r="L40" s="29" t="s">
        <v>946</v>
      </c>
      <c r="M40" s="25" t="s">
        <v>18</v>
      </c>
      <c r="N40" s="13"/>
      <c r="O40" s="14"/>
    </row>
    <row r="41" spans="1:15">
      <c r="A41" s="63" t="s">
        <v>418</v>
      </c>
      <c r="B41" s="63" t="s">
        <v>329</v>
      </c>
      <c r="C41" s="35" t="s">
        <v>460</v>
      </c>
      <c r="D41" s="28" t="s">
        <v>992</v>
      </c>
      <c r="E41" s="29" t="s">
        <v>986</v>
      </c>
      <c r="F41" s="36" t="s">
        <v>944</v>
      </c>
      <c r="G41" s="28" t="s">
        <v>992</v>
      </c>
      <c r="H41" s="29" t="s">
        <v>986</v>
      </c>
      <c r="I41" s="36" t="s">
        <v>944</v>
      </c>
      <c r="J41" s="34" t="s">
        <v>18</v>
      </c>
      <c r="K41" s="25" t="s">
        <v>7</v>
      </c>
      <c r="L41" s="29" t="s">
        <v>946</v>
      </c>
      <c r="M41" s="25" t="s">
        <v>18</v>
      </c>
      <c r="N41" s="13" t="s">
        <v>965</v>
      </c>
      <c r="O41" s="14" t="s">
        <v>460</v>
      </c>
    </row>
    <row r="42" spans="1:15">
      <c r="A42" s="63"/>
      <c r="B42" s="63"/>
      <c r="C42" s="27" t="s">
        <v>1047</v>
      </c>
      <c r="D42" s="28" t="s">
        <v>992</v>
      </c>
      <c r="E42" s="29" t="s">
        <v>986</v>
      </c>
      <c r="F42" s="30" t="s">
        <v>1102</v>
      </c>
      <c r="G42" s="28" t="s">
        <v>992</v>
      </c>
      <c r="H42" s="29" t="s">
        <v>986</v>
      </c>
      <c r="I42" s="30" t="s">
        <v>1102</v>
      </c>
      <c r="J42" s="34" t="s">
        <v>18</v>
      </c>
      <c r="K42" s="25" t="s">
        <v>7</v>
      </c>
      <c r="L42" s="29" t="s">
        <v>946</v>
      </c>
      <c r="M42" s="25" t="s">
        <v>18</v>
      </c>
      <c r="N42" s="13"/>
      <c r="O42" s="14"/>
    </row>
    <row r="43" spans="1:15">
      <c r="A43" s="63"/>
      <c r="B43" s="63"/>
      <c r="C43" s="27" t="s">
        <v>1048</v>
      </c>
      <c r="D43" s="28" t="s">
        <v>992</v>
      </c>
      <c r="E43" s="29" t="s">
        <v>986</v>
      </c>
      <c r="F43" s="30" t="s">
        <v>1103</v>
      </c>
      <c r="G43" s="28" t="s">
        <v>993</v>
      </c>
      <c r="H43" s="29" t="s">
        <v>986</v>
      </c>
      <c r="I43" s="30" t="s">
        <v>1104</v>
      </c>
      <c r="J43" s="34" t="s">
        <v>18</v>
      </c>
      <c r="K43" s="25" t="s">
        <v>7</v>
      </c>
      <c r="L43" s="29" t="s">
        <v>946</v>
      </c>
      <c r="M43" s="25" t="s">
        <v>18</v>
      </c>
      <c r="N43" s="13"/>
      <c r="O43" s="14"/>
    </row>
    <row r="44" spans="1:15">
      <c r="A44" s="63"/>
      <c r="B44" s="63"/>
      <c r="C44" s="27" t="s">
        <v>1051</v>
      </c>
      <c r="D44" s="28" t="s">
        <v>992</v>
      </c>
      <c r="E44" s="29" t="s">
        <v>986</v>
      </c>
      <c r="F44" s="30" t="s">
        <v>1105</v>
      </c>
      <c r="G44" s="28" t="s">
        <v>1112</v>
      </c>
      <c r="H44" s="29" t="s">
        <v>986</v>
      </c>
      <c r="I44" s="30" t="s">
        <v>1105</v>
      </c>
      <c r="J44" s="34" t="s">
        <v>18</v>
      </c>
      <c r="K44" s="25" t="s">
        <v>7</v>
      </c>
      <c r="L44" s="29" t="s">
        <v>946</v>
      </c>
      <c r="M44" s="25" t="s">
        <v>18</v>
      </c>
      <c r="N44" s="13"/>
      <c r="O44" s="14"/>
    </row>
    <row r="45" spans="1:15">
      <c r="A45" s="63" t="s">
        <v>898</v>
      </c>
      <c r="B45" s="63" t="s">
        <v>220</v>
      </c>
      <c r="C45" s="35" t="s">
        <v>461</v>
      </c>
      <c r="D45" s="28" t="s">
        <v>992</v>
      </c>
      <c r="E45" s="29" t="s">
        <v>986</v>
      </c>
      <c r="F45" s="36" t="s">
        <v>945</v>
      </c>
      <c r="G45" s="28" t="s">
        <v>992</v>
      </c>
      <c r="H45" s="29" t="s">
        <v>986</v>
      </c>
      <c r="I45" s="36" t="s">
        <v>945</v>
      </c>
      <c r="J45" s="34" t="s">
        <v>18</v>
      </c>
      <c r="K45" s="25" t="s">
        <v>7</v>
      </c>
      <c r="L45" s="29" t="s">
        <v>946</v>
      </c>
      <c r="M45" s="25" t="s">
        <v>18</v>
      </c>
      <c r="N45" s="13" t="s">
        <v>966</v>
      </c>
      <c r="O45" s="14" t="s">
        <v>461</v>
      </c>
    </row>
    <row r="46" spans="1:15">
      <c r="A46" s="63"/>
      <c r="B46" s="63"/>
      <c r="C46" s="27" t="s">
        <v>1055</v>
      </c>
      <c r="D46" s="28" t="s">
        <v>992</v>
      </c>
      <c r="E46" s="29" t="s">
        <v>986</v>
      </c>
      <c r="F46" s="36" t="s">
        <v>1098</v>
      </c>
      <c r="G46" s="28" t="s">
        <v>992</v>
      </c>
      <c r="H46" s="29" t="s">
        <v>986</v>
      </c>
      <c r="I46" s="36" t="s">
        <v>1098</v>
      </c>
      <c r="J46" s="34" t="s">
        <v>18</v>
      </c>
      <c r="K46" s="25" t="s">
        <v>7</v>
      </c>
      <c r="L46" s="29" t="s">
        <v>946</v>
      </c>
      <c r="M46" s="25" t="s">
        <v>18</v>
      </c>
      <c r="N46" s="13"/>
      <c r="O46" s="14"/>
    </row>
    <row r="47" spans="1:15">
      <c r="A47" s="63"/>
      <c r="B47" s="63"/>
      <c r="C47" s="27" t="s">
        <v>1059</v>
      </c>
      <c r="D47" s="28" t="s">
        <v>992</v>
      </c>
      <c r="E47" s="29" t="s">
        <v>986</v>
      </c>
      <c r="F47" s="36" t="s">
        <v>942</v>
      </c>
      <c r="G47" s="28" t="s">
        <v>992</v>
      </c>
      <c r="H47" s="29" t="s">
        <v>986</v>
      </c>
      <c r="I47" s="36" t="s">
        <v>942</v>
      </c>
      <c r="J47" s="34" t="s">
        <v>18</v>
      </c>
      <c r="K47" s="25" t="s">
        <v>7</v>
      </c>
      <c r="L47" s="29" t="s">
        <v>946</v>
      </c>
      <c r="M47" s="25" t="s">
        <v>18</v>
      </c>
      <c r="N47" s="13"/>
      <c r="O47" s="14"/>
    </row>
    <row r="48" spans="1:15">
      <c r="A48" s="63"/>
      <c r="B48" s="63"/>
      <c r="C48" s="27" t="s">
        <v>1064</v>
      </c>
      <c r="D48" s="28" t="s">
        <v>992</v>
      </c>
      <c r="E48" s="29" t="s">
        <v>986</v>
      </c>
      <c r="F48" s="36" t="s">
        <v>1096</v>
      </c>
      <c r="G48" s="28" t="s">
        <v>992</v>
      </c>
      <c r="H48" s="29" t="s">
        <v>986</v>
      </c>
      <c r="I48" s="36" t="s">
        <v>1096</v>
      </c>
      <c r="J48" s="34" t="s">
        <v>18</v>
      </c>
      <c r="K48" s="25" t="s">
        <v>7</v>
      </c>
      <c r="L48" s="29" t="s">
        <v>946</v>
      </c>
      <c r="M48" s="25" t="s">
        <v>18</v>
      </c>
      <c r="N48" s="13"/>
      <c r="O48" s="14"/>
    </row>
    <row r="49" spans="1:15">
      <c r="A49" s="63"/>
      <c r="B49" s="63"/>
      <c r="C49" s="27" t="s">
        <v>1068</v>
      </c>
      <c r="D49" s="28" t="s">
        <v>992</v>
      </c>
      <c r="E49" s="29" t="s">
        <v>986</v>
      </c>
      <c r="F49" s="36" t="s">
        <v>1099</v>
      </c>
      <c r="G49" s="28" t="s">
        <v>992</v>
      </c>
      <c r="H49" s="29" t="s">
        <v>986</v>
      </c>
      <c r="I49" s="36" t="s">
        <v>1099</v>
      </c>
      <c r="J49" s="34" t="s">
        <v>18</v>
      </c>
      <c r="K49" s="25" t="s">
        <v>7</v>
      </c>
      <c r="L49" s="29" t="s">
        <v>946</v>
      </c>
      <c r="M49" s="25" t="s">
        <v>18</v>
      </c>
      <c r="N49" s="13"/>
      <c r="O49" s="14"/>
    </row>
    <row r="50" spans="1:15">
      <c r="A50" s="63"/>
      <c r="B50" s="63"/>
      <c r="C50" s="27" t="s">
        <v>1072</v>
      </c>
      <c r="D50" s="28" t="s">
        <v>992</v>
      </c>
      <c r="E50" s="29" t="s">
        <v>986</v>
      </c>
      <c r="F50" s="30" t="s">
        <v>1106</v>
      </c>
      <c r="G50" s="28" t="s">
        <v>992</v>
      </c>
      <c r="H50" s="29" t="s">
        <v>986</v>
      </c>
      <c r="I50" s="30" t="s">
        <v>1106</v>
      </c>
      <c r="J50" s="34" t="s">
        <v>18</v>
      </c>
      <c r="K50" s="25" t="s">
        <v>7</v>
      </c>
      <c r="L50" s="29" t="s">
        <v>946</v>
      </c>
      <c r="M50" s="25" t="s">
        <v>18</v>
      </c>
      <c r="N50" s="13"/>
      <c r="O50" s="14"/>
    </row>
    <row r="51" spans="1:15">
      <c r="A51" s="63"/>
      <c r="B51" s="63"/>
      <c r="C51" s="27" t="s">
        <v>1080</v>
      </c>
      <c r="D51" s="28" t="s">
        <v>992</v>
      </c>
      <c r="E51" s="29" t="s">
        <v>986</v>
      </c>
      <c r="F51" s="30" t="s">
        <v>1107</v>
      </c>
      <c r="G51" s="28" t="s">
        <v>992</v>
      </c>
      <c r="H51" s="29" t="s">
        <v>986</v>
      </c>
      <c r="I51" s="30" t="s">
        <v>1107</v>
      </c>
      <c r="J51" s="34" t="s">
        <v>18</v>
      </c>
      <c r="K51" s="25" t="s">
        <v>7</v>
      </c>
      <c r="L51" s="29" t="s">
        <v>946</v>
      </c>
      <c r="M51" s="25" t="s">
        <v>18</v>
      </c>
      <c r="N51" s="13"/>
      <c r="O51" s="14"/>
    </row>
    <row r="52" spans="1:15">
      <c r="A52" s="63" t="s">
        <v>419</v>
      </c>
      <c r="B52" s="63" t="s">
        <v>420</v>
      </c>
      <c r="C52" s="35" t="s">
        <v>462</v>
      </c>
      <c r="D52" s="28" t="s">
        <v>992</v>
      </c>
      <c r="E52" s="29" t="s">
        <v>986</v>
      </c>
      <c r="F52" s="36" t="s">
        <v>945</v>
      </c>
      <c r="G52" s="28" t="s">
        <v>992</v>
      </c>
      <c r="H52" s="29" t="s">
        <v>986</v>
      </c>
      <c r="I52" s="36" t="s">
        <v>945</v>
      </c>
      <c r="J52" s="34" t="s">
        <v>18</v>
      </c>
      <c r="K52" s="25" t="s">
        <v>7</v>
      </c>
      <c r="L52" s="29" t="s">
        <v>946</v>
      </c>
      <c r="M52" s="25" t="s">
        <v>18</v>
      </c>
      <c r="N52" s="13" t="s">
        <v>967</v>
      </c>
      <c r="O52" s="14" t="s">
        <v>462</v>
      </c>
    </row>
    <row r="53" spans="1:15">
      <c r="A53" s="63"/>
      <c r="B53" s="63"/>
      <c r="C53" s="27" t="s">
        <v>1056</v>
      </c>
      <c r="D53" s="28" t="s">
        <v>992</v>
      </c>
      <c r="E53" s="29" t="s">
        <v>986</v>
      </c>
      <c r="F53" s="36" t="s">
        <v>1098</v>
      </c>
      <c r="G53" s="28" t="s">
        <v>992</v>
      </c>
      <c r="H53" s="29" t="s">
        <v>986</v>
      </c>
      <c r="I53" s="36" t="s">
        <v>1098</v>
      </c>
      <c r="J53" s="34" t="s">
        <v>18</v>
      </c>
      <c r="K53" s="25" t="s">
        <v>7</v>
      </c>
      <c r="L53" s="29" t="s">
        <v>946</v>
      </c>
      <c r="M53" s="25" t="s">
        <v>18</v>
      </c>
      <c r="N53" s="13"/>
      <c r="O53" s="14"/>
    </row>
    <row r="54" spans="1:15">
      <c r="A54" s="63"/>
      <c r="B54" s="63"/>
      <c r="C54" s="27" t="s">
        <v>1060</v>
      </c>
      <c r="D54" s="28" t="s">
        <v>992</v>
      </c>
      <c r="E54" s="29" t="s">
        <v>986</v>
      </c>
      <c r="F54" s="36" t="s">
        <v>942</v>
      </c>
      <c r="G54" s="28" t="s">
        <v>992</v>
      </c>
      <c r="H54" s="29" t="s">
        <v>986</v>
      </c>
      <c r="I54" s="36" t="s">
        <v>942</v>
      </c>
      <c r="J54" s="34" t="s">
        <v>18</v>
      </c>
      <c r="K54" s="25" t="s">
        <v>7</v>
      </c>
      <c r="L54" s="29" t="s">
        <v>946</v>
      </c>
      <c r="M54" s="25" t="s">
        <v>18</v>
      </c>
      <c r="N54" s="13"/>
      <c r="O54" s="14"/>
    </row>
    <row r="55" spans="1:15">
      <c r="A55" s="63"/>
      <c r="B55" s="63"/>
      <c r="C55" s="27" t="s">
        <v>1065</v>
      </c>
      <c r="D55" s="28" t="s">
        <v>992</v>
      </c>
      <c r="E55" s="29" t="s">
        <v>986</v>
      </c>
      <c r="F55" s="36" t="s">
        <v>1096</v>
      </c>
      <c r="G55" s="28" t="s">
        <v>1034</v>
      </c>
      <c r="H55" s="29" t="s">
        <v>986</v>
      </c>
      <c r="I55" s="36" t="s">
        <v>1110</v>
      </c>
      <c r="J55" s="34" t="s">
        <v>18</v>
      </c>
      <c r="K55" s="25" t="s">
        <v>7</v>
      </c>
      <c r="L55" s="29" t="s">
        <v>946</v>
      </c>
      <c r="M55" s="25" t="s">
        <v>18</v>
      </c>
      <c r="N55" s="13"/>
      <c r="O55" s="14"/>
    </row>
    <row r="56" spans="1:15">
      <c r="A56" s="63"/>
      <c r="B56" s="63"/>
      <c r="C56" s="27" t="s">
        <v>1069</v>
      </c>
      <c r="D56" s="28" t="s">
        <v>993</v>
      </c>
      <c r="E56" s="29" t="s">
        <v>986</v>
      </c>
      <c r="F56" s="36" t="s">
        <v>1100</v>
      </c>
      <c r="G56" s="28" t="s">
        <v>994</v>
      </c>
      <c r="H56" s="29" t="s">
        <v>986</v>
      </c>
      <c r="I56" s="36" t="s">
        <v>1111</v>
      </c>
      <c r="J56" s="34" t="s">
        <v>18</v>
      </c>
      <c r="K56" s="25" t="s">
        <v>7</v>
      </c>
      <c r="L56" s="29" t="s">
        <v>946</v>
      </c>
      <c r="M56" s="25" t="s">
        <v>18</v>
      </c>
      <c r="N56" s="13"/>
      <c r="O56" s="14"/>
    </row>
    <row r="57" spans="1:15">
      <c r="A57" s="63"/>
      <c r="B57" s="63"/>
      <c r="C57" s="27" t="s">
        <v>1073</v>
      </c>
      <c r="D57" s="28" t="s">
        <v>992</v>
      </c>
      <c r="E57" s="29" t="s">
        <v>986</v>
      </c>
      <c r="F57" s="30" t="s">
        <v>1106</v>
      </c>
      <c r="G57" s="28" t="s">
        <v>992</v>
      </c>
      <c r="H57" s="29" t="s">
        <v>986</v>
      </c>
      <c r="I57" s="30" t="s">
        <v>1106</v>
      </c>
      <c r="J57" s="34" t="s">
        <v>18</v>
      </c>
      <c r="K57" s="25" t="s">
        <v>7</v>
      </c>
      <c r="L57" s="29" t="s">
        <v>946</v>
      </c>
      <c r="M57" s="25" t="s">
        <v>18</v>
      </c>
      <c r="N57" s="13"/>
      <c r="O57" s="14"/>
    </row>
    <row r="58" spans="1:15">
      <c r="A58" s="63"/>
      <c r="B58" s="63"/>
      <c r="C58" s="27" t="s">
        <v>1079</v>
      </c>
      <c r="D58" s="28" t="s">
        <v>992</v>
      </c>
      <c r="E58" s="29" t="s">
        <v>986</v>
      </c>
      <c r="F58" s="30" t="s">
        <v>1108</v>
      </c>
      <c r="G58" s="28" t="s">
        <v>992</v>
      </c>
      <c r="H58" s="29" t="s">
        <v>986</v>
      </c>
      <c r="I58" s="30" t="s">
        <v>1107</v>
      </c>
      <c r="J58" s="34" t="s">
        <v>18</v>
      </c>
      <c r="K58" s="25" t="s">
        <v>7</v>
      </c>
      <c r="L58" s="29" t="s">
        <v>946</v>
      </c>
      <c r="M58" s="25" t="s">
        <v>18</v>
      </c>
      <c r="N58" s="13"/>
      <c r="O58" s="14"/>
    </row>
    <row r="59" spans="1:15">
      <c r="A59" s="63"/>
      <c r="B59" s="63"/>
      <c r="C59" s="27" t="s">
        <v>1082</v>
      </c>
      <c r="D59" s="28" t="s">
        <v>992</v>
      </c>
      <c r="E59" s="29" t="s">
        <v>986</v>
      </c>
      <c r="F59" s="30" t="s">
        <v>1109</v>
      </c>
      <c r="G59" s="28" t="s">
        <v>992</v>
      </c>
      <c r="H59" s="29" t="s">
        <v>986</v>
      </c>
      <c r="I59" s="30" t="s">
        <v>1109</v>
      </c>
      <c r="J59" s="34" t="s">
        <v>18</v>
      </c>
      <c r="K59" s="25" t="s">
        <v>7</v>
      </c>
      <c r="L59" s="29" t="s">
        <v>946</v>
      </c>
      <c r="M59" s="25" t="s">
        <v>18</v>
      </c>
      <c r="N59" s="13"/>
      <c r="O59" s="14"/>
    </row>
    <row r="60" spans="1:15">
      <c r="A60" s="63" t="s">
        <v>421</v>
      </c>
      <c r="B60" s="63" t="s">
        <v>118</v>
      </c>
      <c r="C60" s="35" t="s">
        <v>465</v>
      </c>
      <c r="D60" s="28" t="s">
        <v>992</v>
      </c>
      <c r="E60" s="29" t="s">
        <v>986</v>
      </c>
      <c r="F60" s="36" t="s">
        <v>945</v>
      </c>
      <c r="G60" s="28" t="s">
        <v>992</v>
      </c>
      <c r="H60" s="29" t="s">
        <v>986</v>
      </c>
      <c r="I60" s="36" t="s">
        <v>945</v>
      </c>
      <c r="J60" s="34" t="s">
        <v>18</v>
      </c>
      <c r="K60" s="25" t="s">
        <v>7</v>
      </c>
      <c r="L60" s="29" t="s">
        <v>946</v>
      </c>
      <c r="M60" s="25" t="s">
        <v>18</v>
      </c>
      <c r="N60" s="13" t="s">
        <v>968</v>
      </c>
      <c r="O60" s="14" t="s">
        <v>465</v>
      </c>
    </row>
    <row r="61" spans="1:15">
      <c r="A61" s="63"/>
      <c r="B61" s="63"/>
      <c r="C61" s="27" t="s">
        <v>1057</v>
      </c>
      <c r="D61" s="28" t="s">
        <v>992</v>
      </c>
      <c r="E61" s="29" t="s">
        <v>986</v>
      </c>
      <c r="F61" s="36" t="s">
        <v>1098</v>
      </c>
      <c r="G61" s="28" t="s">
        <v>992</v>
      </c>
      <c r="H61" s="29" t="s">
        <v>986</v>
      </c>
      <c r="I61" s="36" t="s">
        <v>1098</v>
      </c>
      <c r="J61" s="34" t="s">
        <v>18</v>
      </c>
      <c r="K61" s="25" t="s">
        <v>7</v>
      </c>
      <c r="L61" s="29" t="s">
        <v>946</v>
      </c>
      <c r="M61" s="25" t="s">
        <v>18</v>
      </c>
      <c r="N61" s="13"/>
      <c r="O61" s="14"/>
    </row>
    <row r="62" spans="1:15">
      <c r="A62" s="63"/>
      <c r="B62" s="63"/>
      <c r="C62" s="27" t="s">
        <v>1061</v>
      </c>
      <c r="D62" s="28" t="s">
        <v>992</v>
      </c>
      <c r="E62" s="29" t="s">
        <v>986</v>
      </c>
      <c r="F62" s="36" t="s">
        <v>942</v>
      </c>
      <c r="G62" s="28" t="s">
        <v>992</v>
      </c>
      <c r="H62" s="29" t="s">
        <v>986</v>
      </c>
      <c r="I62" s="36" t="s">
        <v>942</v>
      </c>
      <c r="J62" s="34" t="s">
        <v>18</v>
      </c>
      <c r="K62" s="25" t="s">
        <v>7</v>
      </c>
      <c r="L62" s="29" t="s">
        <v>946</v>
      </c>
      <c r="M62" s="25" t="s">
        <v>18</v>
      </c>
      <c r="N62" s="13"/>
      <c r="O62" s="14"/>
    </row>
    <row r="63" spans="1:15">
      <c r="A63" s="63"/>
      <c r="B63" s="63"/>
      <c r="C63" s="27" t="s">
        <v>1066</v>
      </c>
      <c r="D63" s="28" t="s">
        <v>992</v>
      </c>
      <c r="E63" s="29" t="s">
        <v>986</v>
      </c>
      <c r="F63" s="36" t="s">
        <v>1096</v>
      </c>
      <c r="G63" s="28" t="s">
        <v>992</v>
      </c>
      <c r="H63" s="29" t="s">
        <v>986</v>
      </c>
      <c r="I63" s="36" t="s">
        <v>1097</v>
      </c>
      <c r="J63" s="34" t="s">
        <v>18</v>
      </c>
      <c r="K63" s="25" t="s">
        <v>7</v>
      </c>
      <c r="L63" s="29" t="s">
        <v>946</v>
      </c>
      <c r="M63" s="25" t="s">
        <v>18</v>
      </c>
      <c r="N63" s="13"/>
      <c r="O63" s="14"/>
    </row>
    <row r="64" spans="1:15">
      <c r="A64" s="63"/>
      <c r="B64" s="63"/>
      <c r="C64" s="27" t="s">
        <v>1070</v>
      </c>
      <c r="D64" s="28" t="s">
        <v>987</v>
      </c>
      <c r="E64" s="29" t="s">
        <v>986</v>
      </c>
      <c r="F64" s="36" t="s">
        <v>1113</v>
      </c>
      <c r="G64" s="28" t="s">
        <v>987</v>
      </c>
      <c r="H64" s="29" t="s">
        <v>986</v>
      </c>
      <c r="I64" s="36" t="s">
        <v>1114</v>
      </c>
      <c r="J64" s="34" t="s">
        <v>18</v>
      </c>
      <c r="K64" s="25" t="s">
        <v>7</v>
      </c>
      <c r="L64" s="29" t="s">
        <v>946</v>
      </c>
      <c r="M64" s="25" t="s">
        <v>18</v>
      </c>
      <c r="N64" s="13"/>
      <c r="O64" s="14"/>
    </row>
    <row r="65" spans="1:15">
      <c r="A65" s="63"/>
      <c r="B65" s="63"/>
      <c r="C65" s="27" t="s">
        <v>1074</v>
      </c>
      <c r="D65" s="28" t="s">
        <v>992</v>
      </c>
      <c r="E65" s="29" t="s">
        <v>986</v>
      </c>
      <c r="F65" s="30" t="s">
        <v>1106</v>
      </c>
      <c r="G65" s="28" t="s">
        <v>992</v>
      </c>
      <c r="H65" s="29" t="s">
        <v>986</v>
      </c>
      <c r="I65" s="30" t="s">
        <v>1106</v>
      </c>
      <c r="J65" s="34" t="s">
        <v>18</v>
      </c>
      <c r="K65" s="25" t="s">
        <v>7</v>
      </c>
      <c r="L65" s="29" t="s">
        <v>946</v>
      </c>
      <c r="M65" s="25" t="s">
        <v>18</v>
      </c>
      <c r="N65" s="13"/>
      <c r="O65" s="14"/>
    </row>
    <row r="66" spans="1:15">
      <c r="A66" s="63"/>
      <c r="B66" s="63"/>
      <c r="C66" s="27" t="s">
        <v>1181</v>
      </c>
      <c r="D66" s="28" t="s">
        <v>992</v>
      </c>
      <c r="E66" s="29" t="s">
        <v>986</v>
      </c>
      <c r="F66" s="30" t="s">
        <v>1108</v>
      </c>
      <c r="G66" s="28" t="s">
        <v>992</v>
      </c>
      <c r="H66" s="29" t="s">
        <v>986</v>
      </c>
      <c r="I66" s="30" t="s">
        <v>1107</v>
      </c>
      <c r="J66" s="34" t="s">
        <v>18</v>
      </c>
      <c r="K66" s="25" t="s">
        <v>7</v>
      </c>
      <c r="L66" s="29" t="s">
        <v>946</v>
      </c>
      <c r="M66" s="25" t="s">
        <v>18</v>
      </c>
      <c r="N66" s="13"/>
      <c r="O66" s="14"/>
    </row>
    <row r="67" spans="1:15">
      <c r="A67" s="63"/>
      <c r="B67" s="63"/>
      <c r="C67" s="27" t="s">
        <v>1215</v>
      </c>
      <c r="D67" s="28" t="s">
        <v>992</v>
      </c>
      <c r="E67" s="29" t="s">
        <v>986</v>
      </c>
      <c r="F67" s="30" t="s">
        <v>1109</v>
      </c>
      <c r="G67" s="28" t="s">
        <v>992</v>
      </c>
      <c r="H67" s="29" t="s">
        <v>986</v>
      </c>
      <c r="I67" s="30" t="s">
        <v>1109</v>
      </c>
      <c r="J67" s="34" t="s">
        <v>18</v>
      </c>
      <c r="K67" s="25" t="s">
        <v>7</v>
      </c>
      <c r="L67" s="29" t="s">
        <v>946</v>
      </c>
      <c r="M67" s="25" t="s">
        <v>18</v>
      </c>
      <c r="N67" s="13"/>
      <c r="O67" s="14"/>
    </row>
    <row r="68" spans="1:15">
      <c r="A68" s="63" t="s">
        <v>422</v>
      </c>
      <c r="B68" s="63" t="s">
        <v>899</v>
      </c>
      <c r="C68" s="35" t="s">
        <v>469</v>
      </c>
      <c r="D68" s="28" t="s">
        <v>992</v>
      </c>
      <c r="E68" s="29" t="s">
        <v>986</v>
      </c>
      <c r="F68" s="36" t="s">
        <v>945</v>
      </c>
      <c r="G68" s="28" t="s">
        <v>992</v>
      </c>
      <c r="H68" s="29" t="s">
        <v>986</v>
      </c>
      <c r="I68" s="36" t="s">
        <v>945</v>
      </c>
      <c r="J68" s="34" t="s">
        <v>18</v>
      </c>
      <c r="K68" s="25" t="s">
        <v>7</v>
      </c>
      <c r="L68" s="29" t="s">
        <v>946</v>
      </c>
      <c r="M68" s="25" t="s">
        <v>18</v>
      </c>
      <c r="N68" s="13" t="s">
        <v>969</v>
      </c>
      <c r="O68" s="14" t="s">
        <v>469</v>
      </c>
    </row>
    <row r="69" spans="1:15">
      <c r="A69" s="63"/>
      <c r="B69" s="63"/>
      <c r="C69" s="27" t="s">
        <v>1216</v>
      </c>
      <c r="D69" s="28" t="s">
        <v>992</v>
      </c>
      <c r="E69" s="29" t="s">
        <v>986</v>
      </c>
      <c r="F69" s="36" t="s">
        <v>1098</v>
      </c>
      <c r="G69" s="28" t="s">
        <v>992</v>
      </c>
      <c r="H69" s="29" t="s">
        <v>986</v>
      </c>
      <c r="I69" s="36" t="s">
        <v>1098</v>
      </c>
      <c r="J69" s="34" t="s">
        <v>18</v>
      </c>
      <c r="K69" s="25" t="s">
        <v>7</v>
      </c>
      <c r="L69" s="29" t="s">
        <v>946</v>
      </c>
      <c r="M69" s="25" t="s">
        <v>18</v>
      </c>
      <c r="N69" s="13"/>
      <c r="O69" s="14"/>
    </row>
    <row r="70" spans="1:15">
      <c r="A70" s="63"/>
      <c r="B70" s="63"/>
      <c r="C70" s="27" t="s">
        <v>1217</v>
      </c>
      <c r="D70" s="28" t="s">
        <v>992</v>
      </c>
      <c r="E70" s="29" t="s">
        <v>986</v>
      </c>
      <c r="F70" s="36" t="s">
        <v>942</v>
      </c>
      <c r="G70" s="28" t="s">
        <v>992</v>
      </c>
      <c r="H70" s="29" t="s">
        <v>986</v>
      </c>
      <c r="I70" s="36" t="s">
        <v>942</v>
      </c>
      <c r="J70" s="34" t="s">
        <v>18</v>
      </c>
      <c r="K70" s="25" t="s">
        <v>7</v>
      </c>
      <c r="L70" s="29" t="s">
        <v>946</v>
      </c>
      <c r="M70" s="25" t="s">
        <v>18</v>
      </c>
      <c r="N70" s="13"/>
      <c r="O70" s="14"/>
    </row>
    <row r="71" spans="1:15">
      <c r="A71" s="63"/>
      <c r="B71" s="63"/>
      <c r="C71" s="27" t="s">
        <v>1218</v>
      </c>
      <c r="D71" s="28" t="s">
        <v>992</v>
      </c>
      <c r="E71" s="29" t="s">
        <v>986</v>
      </c>
      <c r="F71" s="36" t="s">
        <v>1096</v>
      </c>
      <c r="G71" s="28" t="s">
        <v>992</v>
      </c>
      <c r="H71" s="29" t="s">
        <v>986</v>
      </c>
      <c r="I71" s="36" t="s">
        <v>1097</v>
      </c>
      <c r="J71" s="34" t="s">
        <v>18</v>
      </c>
      <c r="K71" s="25" t="s">
        <v>7</v>
      </c>
      <c r="L71" s="29" t="s">
        <v>946</v>
      </c>
      <c r="M71" s="25" t="s">
        <v>18</v>
      </c>
      <c r="N71" s="13"/>
      <c r="O71" s="14"/>
    </row>
    <row r="72" spans="1:15">
      <c r="A72" s="63"/>
      <c r="B72" s="63"/>
      <c r="C72" s="27" t="s">
        <v>1071</v>
      </c>
      <c r="D72" s="28" t="s">
        <v>993</v>
      </c>
      <c r="E72" s="29" t="s">
        <v>986</v>
      </c>
      <c r="F72" s="36" t="s">
        <v>1115</v>
      </c>
      <c r="G72" s="28" t="s">
        <v>994</v>
      </c>
      <c r="H72" s="29" t="s">
        <v>986</v>
      </c>
      <c r="I72" s="36" t="s">
        <v>1111</v>
      </c>
      <c r="J72" s="34" t="s">
        <v>18</v>
      </c>
      <c r="K72" s="25" t="s">
        <v>7</v>
      </c>
      <c r="L72" s="29" t="s">
        <v>946</v>
      </c>
      <c r="M72" s="25" t="s">
        <v>18</v>
      </c>
      <c r="N72" s="13"/>
      <c r="O72" s="14"/>
    </row>
    <row r="73" spans="1:15">
      <c r="A73" s="63"/>
      <c r="B73" s="63"/>
      <c r="C73" s="27" t="s">
        <v>1180</v>
      </c>
      <c r="D73" s="28" t="s">
        <v>992</v>
      </c>
      <c r="E73" s="29" t="s">
        <v>986</v>
      </c>
      <c r="F73" s="30" t="s">
        <v>1108</v>
      </c>
      <c r="G73" s="28" t="s">
        <v>992</v>
      </c>
      <c r="H73" s="29" t="s">
        <v>986</v>
      </c>
      <c r="I73" s="30" t="s">
        <v>1107</v>
      </c>
      <c r="J73" s="34" t="s">
        <v>18</v>
      </c>
      <c r="K73" s="25" t="s">
        <v>7</v>
      </c>
      <c r="L73" s="29" t="s">
        <v>946</v>
      </c>
      <c r="M73" s="25" t="s">
        <v>18</v>
      </c>
      <c r="N73" s="13"/>
      <c r="O73" s="14"/>
    </row>
    <row r="74" spans="1:15">
      <c r="A74" s="63"/>
      <c r="B74" s="63"/>
      <c r="C74" s="27" t="s">
        <v>1219</v>
      </c>
      <c r="D74" s="28" t="s">
        <v>992</v>
      </c>
      <c r="E74" s="29" t="s">
        <v>986</v>
      </c>
      <c r="F74" s="30" t="s">
        <v>1109</v>
      </c>
      <c r="G74" s="28" t="s">
        <v>992</v>
      </c>
      <c r="H74" s="29" t="s">
        <v>986</v>
      </c>
      <c r="I74" s="30" t="s">
        <v>1109</v>
      </c>
      <c r="J74" s="34" t="s">
        <v>18</v>
      </c>
      <c r="K74" s="25" t="s">
        <v>7</v>
      </c>
      <c r="L74" s="29" t="s">
        <v>946</v>
      </c>
      <c r="M74" s="25" t="s">
        <v>18</v>
      </c>
      <c r="N74" s="13"/>
      <c r="O74" s="14"/>
    </row>
    <row r="75" spans="1:15">
      <c r="A75" s="63" t="s">
        <v>423</v>
      </c>
      <c r="B75" s="63" t="s">
        <v>900</v>
      </c>
      <c r="C75" s="35" t="s">
        <v>463</v>
      </c>
      <c r="D75" s="28" t="s">
        <v>992</v>
      </c>
      <c r="E75" s="29" t="s">
        <v>986</v>
      </c>
      <c r="F75" s="36" t="s">
        <v>945</v>
      </c>
      <c r="G75" s="28" t="s">
        <v>992</v>
      </c>
      <c r="H75" s="29" t="s">
        <v>986</v>
      </c>
      <c r="I75" s="36" t="s">
        <v>945</v>
      </c>
      <c r="J75" s="34" t="s">
        <v>18</v>
      </c>
      <c r="K75" s="25" t="s">
        <v>7</v>
      </c>
      <c r="L75" s="29" t="s">
        <v>946</v>
      </c>
      <c r="M75" s="25" t="s">
        <v>18</v>
      </c>
      <c r="N75" s="13" t="s">
        <v>970</v>
      </c>
      <c r="O75" s="14" t="s">
        <v>463</v>
      </c>
    </row>
    <row r="76" spans="1:15">
      <c r="A76" s="63"/>
      <c r="B76" s="63"/>
      <c r="C76" s="27" t="s">
        <v>1220</v>
      </c>
      <c r="D76" s="28" t="s">
        <v>992</v>
      </c>
      <c r="E76" s="29" t="s">
        <v>986</v>
      </c>
      <c r="F76" s="36" t="s">
        <v>1098</v>
      </c>
      <c r="G76" s="28" t="s">
        <v>992</v>
      </c>
      <c r="H76" s="29" t="s">
        <v>986</v>
      </c>
      <c r="I76" s="36" t="s">
        <v>1098</v>
      </c>
      <c r="J76" s="34" t="s">
        <v>18</v>
      </c>
      <c r="K76" s="25" t="s">
        <v>7</v>
      </c>
      <c r="L76" s="29" t="s">
        <v>946</v>
      </c>
      <c r="M76" s="25" t="s">
        <v>18</v>
      </c>
      <c r="N76" s="13"/>
      <c r="O76" s="14"/>
    </row>
    <row r="77" spans="1:15">
      <c r="A77" s="63"/>
      <c r="B77" s="63"/>
      <c r="C77" s="27" t="s">
        <v>1221</v>
      </c>
      <c r="D77" s="28" t="s">
        <v>992</v>
      </c>
      <c r="E77" s="29" t="s">
        <v>986</v>
      </c>
      <c r="F77" s="36" t="s">
        <v>942</v>
      </c>
      <c r="G77" s="28" t="s">
        <v>992</v>
      </c>
      <c r="H77" s="29" t="s">
        <v>986</v>
      </c>
      <c r="I77" s="36" t="s">
        <v>942</v>
      </c>
      <c r="J77" s="34" t="s">
        <v>18</v>
      </c>
      <c r="K77" s="25" t="s">
        <v>7</v>
      </c>
      <c r="L77" s="29" t="s">
        <v>946</v>
      </c>
      <c r="M77" s="25" t="s">
        <v>18</v>
      </c>
      <c r="N77" s="13"/>
      <c r="O77" s="14"/>
    </row>
    <row r="78" spans="1:15">
      <c r="A78" s="63"/>
      <c r="B78" s="63"/>
      <c r="C78" s="27" t="s">
        <v>1222</v>
      </c>
      <c r="D78" s="28" t="s">
        <v>992</v>
      </c>
      <c r="E78" s="29" t="s">
        <v>986</v>
      </c>
      <c r="F78" s="36" t="s">
        <v>1096</v>
      </c>
      <c r="G78" s="28" t="s">
        <v>992</v>
      </c>
      <c r="H78" s="29" t="s">
        <v>986</v>
      </c>
      <c r="I78" s="36" t="s">
        <v>1097</v>
      </c>
      <c r="J78" s="34" t="s">
        <v>18</v>
      </c>
      <c r="K78" s="25" t="s">
        <v>7</v>
      </c>
      <c r="L78" s="29" t="s">
        <v>946</v>
      </c>
      <c r="M78" s="25" t="s">
        <v>18</v>
      </c>
      <c r="N78" s="13"/>
      <c r="O78" s="14"/>
    </row>
    <row r="79" spans="1:15">
      <c r="A79" s="63"/>
      <c r="B79" s="63"/>
      <c r="C79" s="27" t="s">
        <v>1076</v>
      </c>
      <c r="D79" s="28" t="s">
        <v>992</v>
      </c>
      <c r="E79" s="29" t="s">
        <v>986</v>
      </c>
      <c r="F79" s="30" t="s">
        <v>1106</v>
      </c>
      <c r="G79" s="28" t="s">
        <v>992</v>
      </c>
      <c r="H79" s="29" t="s">
        <v>986</v>
      </c>
      <c r="I79" s="30" t="s">
        <v>1106</v>
      </c>
      <c r="J79" s="34" t="s">
        <v>18</v>
      </c>
      <c r="K79" s="25" t="s">
        <v>7</v>
      </c>
      <c r="L79" s="29" t="s">
        <v>946</v>
      </c>
      <c r="M79" s="25" t="s">
        <v>18</v>
      </c>
      <c r="N79" s="13"/>
      <c r="O79" s="14"/>
    </row>
    <row r="80" spans="1:15">
      <c r="A80" s="63"/>
      <c r="B80" s="63"/>
      <c r="C80" s="27" t="s">
        <v>1181</v>
      </c>
      <c r="D80" s="28" t="s">
        <v>992</v>
      </c>
      <c r="E80" s="29" t="s">
        <v>986</v>
      </c>
      <c r="F80" s="30" t="s">
        <v>1109</v>
      </c>
      <c r="G80" s="28" t="s">
        <v>992</v>
      </c>
      <c r="H80" s="29" t="s">
        <v>986</v>
      </c>
      <c r="I80" s="30" t="s">
        <v>1109</v>
      </c>
      <c r="J80" s="34" t="s">
        <v>18</v>
      </c>
      <c r="K80" s="25" t="s">
        <v>7</v>
      </c>
      <c r="L80" s="29" t="s">
        <v>946</v>
      </c>
      <c r="M80" s="25" t="s">
        <v>18</v>
      </c>
      <c r="N80" s="13"/>
      <c r="O80" s="14"/>
    </row>
    <row r="81" spans="1:15">
      <c r="A81" s="63" t="s">
        <v>425</v>
      </c>
      <c r="B81" s="63" t="s">
        <v>901</v>
      </c>
      <c r="C81" s="35" t="s">
        <v>464</v>
      </c>
      <c r="D81" s="28" t="s">
        <v>992</v>
      </c>
      <c r="E81" s="29" t="s">
        <v>986</v>
      </c>
      <c r="F81" s="36" t="s">
        <v>945</v>
      </c>
      <c r="G81" s="28" t="s">
        <v>992</v>
      </c>
      <c r="H81" s="29" t="s">
        <v>986</v>
      </c>
      <c r="I81" s="36" t="s">
        <v>945</v>
      </c>
      <c r="J81" s="34" t="s">
        <v>18</v>
      </c>
      <c r="K81" s="25" t="s">
        <v>7</v>
      </c>
      <c r="L81" s="29" t="s">
        <v>946</v>
      </c>
      <c r="M81" s="25" t="s">
        <v>18</v>
      </c>
      <c r="N81" s="13" t="s">
        <v>971</v>
      </c>
      <c r="O81" s="14" t="s">
        <v>464</v>
      </c>
    </row>
    <row r="82" spans="1:15">
      <c r="A82" s="63"/>
      <c r="B82" s="63"/>
      <c r="C82" s="27" t="s">
        <v>1223</v>
      </c>
      <c r="D82" s="28" t="s">
        <v>992</v>
      </c>
      <c r="E82" s="29" t="s">
        <v>986</v>
      </c>
      <c r="F82" s="36" t="s">
        <v>1098</v>
      </c>
      <c r="G82" s="28" t="s">
        <v>992</v>
      </c>
      <c r="H82" s="29" t="s">
        <v>986</v>
      </c>
      <c r="I82" s="36" t="s">
        <v>1098</v>
      </c>
      <c r="J82" s="34" t="s">
        <v>18</v>
      </c>
      <c r="K82" s="25" t="s">
        <v>7</v>
      </c>
      <c r="L82" s="29" t="s">
        <v>946</v>
      </c>
      <c r="M82" s="25" t="s">
        <v>18</v>
      </c>
      <c r="N82" s="13"/>
      <c r="O82" s="14"/>
    </row>
    <row r="83" spans="1:15">
      <c r="A83" s="63"/>
      <c r="B83" s="63"/>
      <c r="C83" s="27" t="s">
        <v>1224</v>
      </c>
      <c r="D83" s="28" t="s">
        <v>992</v>
      </c>
      <c r="E83" s="29" t="s">
        <v>986</v>
      </c>
      <c r="F83" s="36" t="s">
        <v>942</v>
      </c>
      <c r="G83" s="28" t="s">
        <v>992</v>
      </c>
      <c r="H83" s="29" t="s">
        <v>986</v>
      </c>
      <c r="I83" s="36" t="s">
        <v>942</v>
      </c>
      <c r="J83" s="34" t="s">
        <v>18</v>
      </c>
      <c r="K83" s="25" t="s">
        <v>7</v>
      </c>
      <c r="L83" s="29" t="s">
        <v>946</v>
      </c>
      <c r="M83" s="25" t="s">
        <v>18</v>
      </c>
      <c r="N83" s="13"/>
      <c r="O83" s="14"/>
    </row>
    <row r="84" spans="1:15">
      <c r="A84" s="63"/>
      <c r="B84" s="63"/>
      <c r="C84" s="27" t="s">
        <v>1225</v>
      </c>
      <c r="D84" s="28" t="s">
        <v>994</v>
      </c>
      <c r="E84" s="29" t="s">
        <v>986</v>
      </c>
      <c r="F84" s="36" t="s">
        <v>1116</v>
      </c>
      <c r="G84" s="28" t="s">
        <v>994</v>
      </c>
      <c r="H84" s="29" t="s">
        <v>986</v>
      </c>
      <c r="I84" s="36" t="s">
        <v>1117</v>
      </c>
      <c r="J84" s="34" t="s">
        <v>18</v>
      </c>
      <c r="K84" s="25" t="s">
        <v>7</v>
      </c>
      <c r="L84" s="29" t="s">
        <v>946</v>
      </c>
      <c r="M84" s="25" t="s">
        <v>18</v>
      </c>
      <c r="N84" s="13"/>
      <c r="O84" s="14"/>
    </row>
    <row r="85" spans="1:15">
      <c r="A85" s="63"/>
      <c r="B85" s="63"/>
      <c r="C85" s="27" t="s">
        <v>1077</v>
      </c>
      <c r="D85" s="28" t="s">
        <v>992</v>
      </c>
      <c r="E85" s="29" t="s">
        <v>986</v>
      </c>
      <c r="F85" s="30" t="s">
        <v>1106</v>
      </c>
      <c r="G85" s="28" t="s">
        <v>992</v>
      </c>
      <c r="H85" s="29" t="s">
        <v>986</v>
      </c>
      <c r="I85" s="30" t="s">
        <v>1106</v>
      </c>
      <c r="J85" s="34" t="s">
        <v>18</v>
      </c>
      <c r="K85" s="25" t="s">
        <v>7</v>
      </c>
      <c r="L85" s="29" t="s">
        <v>946</v>
      </c>
      <c r="M85" s="25" t="s">
        <v>18</v>
      </c>
      <c r="N85" s="13"/>
      <c r="O85" s="14"/>
    </row>
    <row r="86" spans="1:15">
      <c r="A86" s="63"/>
      <c r="B86" s="63"/>
      <c r="C86" s="27" t="s">
        <v>1226</v>
      </c>
      <c r="D86" s="28" t="s">
        <v>992</v>
      </c>
      <c r="E86" s="29" t="s">
        <v>986</v>
      </c>
      <c r="F86" s="30" t="s">
        <v>1109</v>
      </c>
      <c r="G86" s="28" t="s">
        <v>992</v>
      </c>
      <c r="H86" s="29" t="s">
        <v>986</v>
      </c>
      <c r="I86" s="30" t="s">
        <v>1109</v>
      </c>
      <c r="J86" s="34" t="s">
        <v>18</v>
      </c>
      <c r="K86" s="25" t="s">
        <v>7</v>
      </c>
      <c r="L86" s="29" t="s">
        <v>946</v>
      </c>
      <c r="M86" s="25" t="s">
        <v>18</v>
      </c>
      <c r="N86" s="13"/>
      <c r="O86" s="14"/>
    </row>
    <row r="87" spans="1:15">
      <c r="A87" s="63" t="s">
        <v>902</v>
      </c>
      <c r="B87" s="63" t="s">
        <v>903</v>
      </c>
      <c r="C87" s="35" t="s">
        <v>1062</v>
      </c>
      <c r="D87" s="28" t="s">
        <v>992</v>
      </c>
      <c r="E87" s="29" t="s">
        <v>986</v>
      </c>
      <c r="F87" s="36" t="s">
        <v>942</v>
      </c>
      <c r="G87" s="28" t="s">
        <v>992</v>
      </c>
      <c r="H87" s="29" t="s">
        <v>986</v>
      </c>
      <c r="I87" s="36" t="s">
        <v>942</v>
      </c>
      <c r="J87" s="34" t="s">
        <v>18</v>
      </c>
      <c r="K87" s="25" t="s">
        <v>7</v>
      </c>
      <c r="L87" s="29" t="s">
        <v>946</v>
      </c>
      <c r="M87" s="25" t="s">
        <v>18</v>
      </c>
      <c r="N87" s="13" t="s">
        <v>972</v>
      </c>
      <c r="O87" s="14" t="s">
        <v>467</v>
      </c>
    </row>
    <row r="88" spans="1:15">
      <c r="A88" s="63"/>
      <c r="B88" s="63"/>
      <c r="C88" s="27" t="s">
        <v>1227</v>
      </c>
      <c r="D88" s="28" t="s">
        <v>992</v>
      </c>
      <c r="E88" s="29" t="s">
        <v>986</v>
      </c>
      <c r="F88" s="36" t="s">
        <v>1098</v>
      </c>
      <c r="G88" s="28" t="s">
        <v>992</v>
      </c>
      <c r="H88" s="29" t="s">
        <v>986</v>
      </c>
      <c r="I88" s="36" t="s">
        <v>1098</v>
      </c>
      <c r="J88" s="34" t="s">
        <v>18</v>
      </c>
      <c r="K88" s="25" t="s">
        <v>7</v>
      </c>
      <c r="L88" s="29" t="s">
        <v>946</v>
      </c>
      <c r="M88" s="25" t="s">
        <v>18</v>
      </c>
      <c r="N88" s="13"/>
      <c r="O88" s="14"/>
    </row>
    <row r="89" spans="1:15">
      <c r="A89" s="63"/>
      <c r="B89" s="63"/>
      <c r="C89" s="27" t="s">
        <v>1228</v>
      </c>
      <c r="D89" s="28" t="s">
        <v>1033</v>
      </c>
      <c r="E89" s="29" t="s">
        <v>986</v>
      </c>
      <c r="F89" s="36" t="s">
        <v>1097</v>
      </c>
      <c r="G89" s="28" t="s">
        <v>993</v>
      </c>
      <c r="H89" s="29" t="s">
        <v>986</v>
      </c>
      <c r="I89" s="36" t="s">
        <v>1110</v>
      </c>
      <c r="J89" s="34" t="s">
        <v>18</v>
      </c>
      <c r="K89" s="25" t="s">
        <v>7</v>
      </c>
      <c r="L89" s="29" t="s">
        <v>946</v>
      </c>
      <c r="M89" s="25" t="s">
        <v>18</v>
      </c>
      <c r="N89" s="13"/>
      <c r="O89" s="14"/>
    </row>
    <row r="90" spans="1:15">
      <c r="A90" s="63"/>
      <c r="B90" s="63"/>
      <c r="C90" s="27" t="s">
        <v>1118</v>
      </c>
      <c r="D90" s="28" t="s">
        <v>992</v>
      </c>
      <c r="E90" s="29" t="s">
        <v>986</v>
      </c>
      <c r="F90" s="30" t="s">
        <v>1099</v>
      </c>
      <c r="G90" s="28" t="s">
        <v>992</v>
      </c>
      <c r="H90" s="29" t="s">
        <v>986</v>
      </c>
      <c r="I90" s="30" t="s">
        <v>1099</v>
      </c>
      <c r="J90" s="34" t="s">
        <v>18</v>
      </c>
      <c r="K90" s="25" t="s">
        <v>7</v>
      </c>
      <c r="L90" s="29" t="s">
        <v>946</v>
      </c>
      <c r="M90" s="25" t="s">
        <v>18</v>
      </c>
      <c r="N90" s="13"/>
      <c r="O90" s="14"/>
    </row>
    <row r="91" spans="1:15">
      <c r="A91" s="63"/>
      <c r="B91" s="63"/>
      <c r="C91" s="27" t="s">
        <v>1089</v>
      </c>
      <c r="D91" s="28" t="s">
        <v>992</v>
      </c>
      <c r="E91" s="29" t="s">
        <v>986</v>
      </c>
      <c r="F91" s="30" t="s">
        <v>1106</v>
      </c>
      <c r="G91" s="28" t="s">
        <v>992</v>
      </c>
      <c r="H91" s="29" t="s">
        <v>986</v>
      </c>
      <c r="I91" s="30" t="s">
        <v>1106</v>
      </c>
      <c r="J91" s="34" t="s">
        <v>18</v>
      </c>
      <c r="K91" s="25" t="s">
        <v>7</v>
      </c>
      <c r="L91" s="29" t="s">
        <v>946</v>
      </c>
      <c r="M91" s="25" t="s">
        <v>18</v>
      </c>
      <c r="N91" s="13"/>
      <c r="O91" s="14"/>
    </row>
    <row r="92" spans="1:15">
      <c r="A92" s="63"/>
      <c r="B92" s="63"/>
      <c r="C92" s="27" t="s">
        <v>1229</v>
      </c>
      <c r="D92" s="28" t="s">
        <v>992</v>
      </c>
      <c r="E92" s="29" t="s">
        <v>986</v>
      </c>
      <c r="F92" s="30" t="s">
        <v>1108</v>
      </c>
      <c r="G92" s="28" t="s">
        <v>992</v>
      </c>
      <c r="H92" s="29" t="s">
        <v>986</v>
      </c>
      <c r="I92" s="30" t="s">
        <v>1107</v>
      </c>
      <c r="J92" s="34" t="s">
        <v>18</v>
      </c>
      <c r="K92" s="25" t="s">
        <v>7</v>
      </c>
      <c r="L92" s="29" t="s">
        <v>946</v>
      </c>
      <c r="M92" s="25" t="s">
        <v>18</v>
      </c>
      <c r="N92" s="13"/>
      <c r="O92" s="14"/>
    </row>
    <row r="93" spans="1:15">
      <c r="A93" s="63"/>
      <c r="B93" s="63"/>
      <c r="C93" s="27" t="s">
        <v>1088</v>
      </c>
      <c r="D93" s="28" t="s">
        <v>992</v>
      </c>
      <c r="E93" s="29" t="s">
        <v>986</v>
      </c>
      <c r="F93" s="30" t="s">
        <v>1109</v>
      </c>
      <c r="G93" s="28" t="s">
        <v>992</v>
      </c>
      <c r="H93" s="29" t="s">
        <v>986</v>
      </c>
      <c r="I93" s="30" t="s">
        <v>1109</v>
      </c>
      <c r="J93" s="34" t="s">
        <v>18</v>
      </c>
      <c r="K93" s="25" t="s">
        <v>7</v>
      </c>
      <c r="L93" s="29" t="s">
        <v>946</v>
      </c>
      <c r="M93" s="25" t="s">
        <v>18</v>
      </c>
      <c r="N93" s="13"/>
      <c r="O93" s="14"/>
    </row>
    <row r="94" spans="1:15">
      <c r="A94" s="63" t="s">
        <v>427</v>
      </c>
      <c r="B94" s="63" t="s">
        <v>904</v>
      </c>
      <c r="C94" s="35" t="s">
        <v>468</v>
      </c>
      <c r="D94" s="28" t="s">
        <v>992</v>
      </c>
      <c r="E94" s="29" t="s">
        <v>986</v>
      </c>
      <c r="F94" s="36" t="s">
        <v>942</v>
      </c>
      <c r="G94" s="28" t="s">
        <v>992</v>
      </c>
      <c r="H94" s="29" t="s">
        <v>986</v>
      </c>
      <c r="I94" s="36" t="s">
        <v>942</v>
      </c>
      <c r="J94" s="34" t="s">
        <v>18</v>
      </c>
      <c r="K94" s="25" t="s">
        <v>7</v>
      </c>
      <c r="L94" s="29" t="s">
        <v>946</v>
      </c>
      <c r="M94" s="25" t="s">
        <v>18</v>
      </c>
      <c r="N94" s="13" t="s">
        <v>973</v>
      </c>
      <c r="O94" s="14" t="s">
        <v>468</v>
      </c>
    </row>
    <row r="95" spans="1:15">
      <c r="A95" s="63"/>
      <c r="B95" s="63"/>
      <c r="C95" s="27" t="s">
        <v>1230</v>
      </c>
      <c r="D95" s="28" t="s">
        <v>992</v>
      </c>
      <c r="E95" s="29" t="s">
        <v>986</v>
      </c>
      <c r="F95" s="36" t="s">
        <v>1098</v>
      </c>
      <c r="G95" s="28" t="s">
        <v>992</v>
      </c>
      <c r="H95" s="29" t="s">
        <v>986</v>
      </c>
      <c r="I95" s="36" t="s">
        <v>1098</v>
      </c>
      <c r="J95" s="34" t="s">
        <v>18</v>
      </c>
      <c r="K95" s="25" t="s">
        <v>7</v>
      </c>
      <c r="L95" s="29" t="s">
        <v>946</v>
      </c>
      <c r="M95" s="25" t="s">
        <v>18</v>
      </c>
      <c r="N95" s="13"/>
      <c r="O95" s="14"/>
    </row>
    <row r="96" spans="1:15">
      <c r="A96" s="63"/>
      <c r="B96" s="63"/>
      <c r="C96" s="27" t="s">
        <v>1231</v>
      </c>
      <c r="D96" s="28" t="s">
        <v>1033</v>
      </c>
      <c r="E96" s="29" t="s">
        <v>986</v>
      </c>
      <c r="F96" s="36" t="s">
        <v>1097</v>
      </c>
      <c r="G96" s="28" t="s">
        <v>993</v>
      </c>
      <c r="H96" s="29" t="s">
        <v>986</v>
      </c>
      <c r="I96" s="36" t="s">
        <v>1110</v>
      </c>
      <c r="J96" s="34" t="s">
        <v>18</v>
      </c>
      <c r="K96" s="25" t="s">
        <v>7</v>
      </c>
      <c r="L96" s="29" t="s">
        <v>946</v>
      </c>
      <c r="M96" s="25" t="s">
        <v>18</v>
      </c>
      <c r="N96" s="13"/>
      <c r="O96" s="14"/>
    </row>
    <row r="97" spans="1:15">
      <c r="A97" s="63"/>
      <c r="B97" s="63"/>
      <c r="C97" s="27" t="s">
        <v>1089</v>
      </c>
      <c r="D97" s="28" t="s">
        <v>992</v>
      </c>
      <c r="E97" s="29" t="s">
        <v>986</v>
      </c>
      <c r="F97" s="30" t="s">
        <v>1099</v>
      </c>
      <c r="G97" s="28" t="s">
        <v>992</v>
      </c>
      <c r="H97" s="29" t="s">
        <v>986</v>
      </c>
      <c r="I97" s="30" t="s">
        <v>1099</v>
      </c>
      <c r="J97" s="34" t="s">
        <v>18</v>
      </c>
      <c r="K97" s="25" t="s">
        <v>7</v>
      </c>
      <c r="L97" s="29" t="s">
        <v>946</v>
      </c>
      <c r="M97" s="25" t="s">
        <v>18</v>
      </c>
      <c r="N97" s="13"/>
      <c r="O97" s="14"/>
    </row>
    <row r="98" spans="1:15">
      <c r="A98" s="63"/>
      <c r="B98" s="63"/>
      <c r="C98" s="27" t="s">
        <v>1226</v>
      </c>
      <c r="D98" s="28" t="s">
        <v>992</v>
      </c>
      <c r="E98" s="29" t="s">
        <v>986</v>
      </c>
      <c r="F98" s="30" t="s">
        <v>1108</v>
      </c>
      <c r="G98" s="28" t="s">
        <v>992</v>
      </c>
      <c r="H98" s="29" t="s">
        <v>986</v>
      </c>
      <c r="I98" s="30" t="s">
        <v>1107</v>
      </c>
      <c r="J98" s="34" t="s">
        <v>18</v>
      </c>
      <c r="K98" s="25" t="s">
        <v>7</v>
      </c>
      <c r="L98" s="29" t="s">
        <v>946</v>
      </c>
      <c r="M98" s="25" t="s">
        <v>18</v>
      </c>
      <c r="N98" s="13"/>
      <c r="O98" s="14"/>
    </row>
    <row r="99" spans="1:15">
      <c r="A99" s="63"/>
      <c r="B99" s="63"/>
      <c r="C99" s="27" t="s">
        <v>1087</v>
      </c>
      <c r="D99" s="28" t="s">
        <v>992</v>
      </c>
      <c r="E99" s="29" t="s">
        <v>986</v>
      </c>
      <c r="F99" s="30" t="s">
        <v>1109</v>
      </c>
      <c r="G99" s="28" t="s">
        <v>992</v>
      </c>
      <c r="H99" s="29" t="s">
        <v>986</v>
      </c>
      <c r="I99" s="30" t="s">
        <v>1109</v>
      </c>
      <c r="J99" s="34" t="s">
        <v>18</v>
      </c>
      <c r="K99" s="25" t="s">
        <v>7</v>
      </c>
      <c r="L99" s="29" t="s">
        <v>946</v>
      </c>
      <c r="M99" s="25" t="s">
        <v>18</v>
      </c>
      <c r="N99" s="13"/>
      <c r="O99" s="14"/>
    </row>
    <row r="100" spans="1:15">
      <c r="A100" s="63" t="s">
        <v>428</v>
      </c>
      <c r="B100" s="63" t="s">
        <v>905</v>
      </c>
      <c r="C100" s="35" t="s">
        <v>466</v>
      </c>
      <c r="D100" s="28" t="s">
        <v>992</v>
      </c>
      <c r="E100" s="29" t="s">
        <v>986</v>
      </c>
      <c r="F100" s="36" t="s">
        <v>942</v>
      </c>
      <c r="G100" s="28" t="s">
        <v>992</v>
      </c>
      <c r="H100" s="29" t="s">
        <v>986</v>
      </c>
      <c r="I100" s="36" t="s">
        <v>942</v>
      </c>
      <c r="J100" s="34" t="s">
        <v>18</v>
      </c>
      <c r="K100" s="25" t="s">
        <v>7</v>
      </c>
      <c r="L100" s="29" t="s">
        <v>946</v>
      </c>
      <c r="M100" s="25" t="s">
        <v>18</v>
      </c>
      <c r="N100" s="13" t="s">
        <v>974</v>
      </c>
      <c r="O100" s="14" t="s">
        <v>466</v>
      </c>
    </row>
    <row r="101" spans="1:15">
      <c r="A101" s="63"/>
      <c r="B101" s="63"/>
      <c r="C101" s="27" t="s">
        <v>1232</v>
      </c>
      <c r="D101" s="28" t="s">
        <v>992</v>
      </c>
      <c r="E101" s="29" t="s">
        <v>986</v>
      </c>
      <c r="F101" s="36" t="s">
        <v>1098</v>
      </c>
      <c r="G101" s="28" t="s">
        <v>992</v>
      </c>
      <c r="H101" s="29" t="s">
        <v>986</v>
      </c>
      <c r="I101" s="36" t="s">
        <v>1098</v>
      </c>
      <c r="J101" s="34" t="s">
        <v>18</v>
      </c>
      <c r="K101" s="25" t="s">
        <v>7</v>
      </c>
      <c r="L101" s="29" t="s">
        <v>946</v>
      </c>
      <c r="M101" s="25" t="s">
        <v>18</v>
      </c>
      <c r="N101" s="13"/>
      <c r="O101" s="14"/>
    </row>
    <row r="102" spans="1:15">
      <c r="A102" s="63"/>
      <c r="B102" s="63"/>
      <c r="C102" s="27" t="s">
        <v>1233</v>
      </c>
      <c r="D102" s="28" t="s">
        <v>1033</v>
      </c>
      <c r="E102" s="29" t="s">
        <v>986</v>
      </c>
      <c r="F102" s="36" t="s">
        <v>1097</v>
      </c>
      <c r="G102" s="28" t="s">
        <v>993</v>
      </c>
      <c r="H102" s="29" t="s">
        <v>986</v>
      </c>
      <c r="I102" s="36" t="s">
        <v>1110</v>
      </c>
      <c r="J102" s="34" t="s">
        <v>18</v>
      </c>
      <c r="K102" s="25" t="s">
        <v>7</v>
      </c>
      <c r="L102" s="29" t="s">
        <v>946</v>
      </c>
      <c r="M102" s="25" t="s">
        <v>18</v>
      </c>
      <c r="N102" s="13"/>
      <c r="O102" s="14"/>
    </row>
    <row r="103" spans="1:15">
      <c r="A103" s="63"/>
      <c r="B103" s="63"/>
      <c r="C103" s="27" t="s">
        <v>1234</v>
      </c>
      <c r="D103" s="28" t="s">
        <v>992</v>
      </c>
      <c r="E103" s="29" t="s">
        <v>986</v>
      </c>
      <c r="F103" s="30" t="s">
        <v>1108</v>
      </c>
      <c r="G103" s="28" t="s">
        <v>992</v>
      </c>
      <c r="H103" s="29" t="s">
        <v>986</v>
      </c>
      <c r="I103" s="30" t="s">
        <v>1107</v>
      </c>
      <c r="J103" s="34" t="s">
        <v>18</v>
      </c>
      <c r="K103" s="25" t="s">
        <v>7</v>
      </c>
      <c r="L103" s="29" t="s">
        <v>946</v>
      </c>
      <c r="M103" s="25" t="s">
        <v>18</v>
      </c>
      <c r="N103" s="13"/>
      <c r="O103" s="14"/>
    </row>
    <row r="104" spans="1:15">
      <c r="A104" s="63"/>
      <c r="B104" s="63"/>
      <c r="C104" s="27" t="s">
        <v>1075</v>
      </c>
      <c r="D104" s="28" t="s">
        <v>992</v>
      </c>
      <c r="E104" s="29" t="s">
        <v>986</v>
      </c>
      <c r="F104" s="30" t="s">
        <v>1109</v>
      </c>
      <c r="G104" s="28" t="s">
        <v>992</v>
      </c>
      <c r="H104" s="29" t="s">
        <v>986</v>
      </c>
      <c r="I104" s="30" t="s">
        <v>1109</v>
      </c>
      <c r="J104" s="34" t="s">
        <v>18</v>
      </c>
      <c r="K104" s="25" t="s">
        <v>7</v>
      </c>
      <c r="L104" s="29" t="s">
        <v>946</v>
      </c>
      <c r="M104" s="25" t="s">
        <v>18</v>
      </c>
      <c r="N104" s="13"/>
      <c r="O104" s="14"/>
    </row>
    <row r="105" spans="1:15">
      <c r="A105" s="63" t="s">
        <v>429</v>
      </c>
      <c r="B105" s="63" t="s">
        <v>906</v>
      </c>
      <c r="C105" s="35" t="s">
        <v>470</v>
      </c>
      <c r="D105" s="28" t="s">
        <v>992</v>
      </c>
      <c r="E105" s="29" t="s">
        <v>986</v>
      </c>
      <c r="F105" s="36" t="s">
        <v>942</v>
      </c>
      <c r="G105" s="28" t="s">
        <v>992</v>
      </c>
      <c r="H105" s="29" t="s">
        <v>986</v>
      </c>
      <c r="I105" s="36" t="s">
        <v>942</v>
      </c>
      <c r="J105" s="34" t="s">
        <v>18</v>
      </c>
      <c r="K105" s="25" t="s">
        <v>7</v>
      </c>
      <c r="L105" s="29" t="s">
        <v>946</v>
      </c>
      <c r="M105" s="25" t="s">
        <v>18</v>
      </c>
      <c r="N105" s="13" t="s">
        <v>975</v>
      </c>
      <c r="O105" s="14" t="s">
        <v>470</v>
      </c>
    </row>
    <row r="106" spans="1:15">
      <c r="A106" s="63"/>
      <c r="B106" s="63"/>
      <c r="C106" s="27" t="s">
        <v>1058</v>
      </c>
      <c r="D106" s="28" t="s">
        <v>992</v>
      </c>
      <c r="E106" s="29" t="s">
        <v>986</v>
      </c>
      <c r="F106" s="36" t="s">
        <v>1098</v>
      </c>
      <c r="G106" s="28" t="s">
        <v>992</v>
      </c>
      <c r="H106" s="29" t="s">
        <v>986</v>
      </c>
      <c r="I106" s="36" t="s">
        <v>1098</v>
      </c>
      <c r="J106" s="34" t="s">
        <v>18</v>
      </c>
      <c r="K106" s="25" t="s">
        <v>7</v>
      </c>
      <c r="L106" s="29" t="s">
        <v>946</v>
      </c>
      <c r="M106" s="25" t="s">
        <v>18</v>
      </c>
      <c r="N106" s="13"/>
      <c r="O106" s="14"/>
    </row>
    <row r="107" spans="1:15">
      <c r="A107" s="63"/>
      <c r="B107" s="63"/>
      <c r="C107" s="27" t="s">
        <v>1067</v>
      </c>
      <c r="D107" s="28" t="s">
        <v>1033</v>
      </c>
      <c r="E107" s="29" t="s">
        <v>986</v>
      </c>
      <c r="F107" s="36" t="s">
        <v>1097</v>
      </c>
      <c r="G107" s="28" t="s">
        <v>1033</v>
      </c>
      <c r="H107" s="29" t="s">
        <v>986</v>
      </c>
      <c r="I107" s="36" t="s">
        <v>1097</v>
      </c>
      <c r="J107" s="34" t="s">
        <v>18</v>
      </c>
      <c r="K107" s="25" t="s">
        <v>7</v>
      </c>
      <c r="L107" s="29" t="s">
        <v>946</v>
      </c>
      <c r="M107" s="25" t="s">
        <v>18</v>
      </c>
      <c r="N107" s="13"/>
      <c r="O107" s="14"/>
    </row>
    <row r="108" spans="1:15">
      <c r="A108" s="63"/>
      <c r="B108" s="63"/>
      <c r="C108" s="27" t="s">
        <v>1063</v>
      </c>
      <c r="D108" s="28" t="s">
        <v>992</v>
      </c>
      <c r="E108" s="29" t="s">
        <v>986</v>
      </c>
      <c r="F108" s="30" t="s">
        <v>1099</v>
      </c>
      <c r="G108" s="28" t="s">
        <v>992</v>
      </c>
      <c r="H108" s="29" t="s">
        <v>986</v>
      </c>
      <c r="I108" s="30" t="s">
        <v>1099</v>
      </c>
      <c r="J108" s="34" t="s">
        <v>18</v>
      </c>
      <c r="K108" s="25" t="s">
        <v>7</v>
      </c>
      <c r="L108" s="29" t="s">
        <v>946</v>
      </c>
      <c r="M108" s="25" t="s">
        <v>18</v>
      </c>
      <c r="N108" s="13"/>
      <c r="O108" s="14"/>
    </row>
    <row r="109" spans="1:15">
      <c r="A109" s="63"/>
      <c r="B109" s="63"/>
      <c r="C109" s="27" t="s">
        <v>1081</v>
      </c>
      <c r="D109" s="28" t="s">
        <v>992</v>
      </c>
      <c r="E109" s="29" t="s">
        <v>986</v>
      </c>
      <c r="F109" s="30" t="s">
        <v>1108</v>
      </c>
      <c r="G109" s="28" t="s">
        <v>992</v>
      </c>
      <c r="H109" s="29" t="s">
        <v>986</v>
      </c>
      <c r="I109" s="30" t="s">
        <v>1107</v>
      </c>
      <c r="J109" s="34" t="s">
        <v>18</v>
      </c>
      <c r="K109" s="25" t="s">
        <v>7</v>
      </c>
      <c r="L109" s="29" t="s">
        <v>946</v>
      </c>
      <c r="M109" s="25" t="s">
        <v>18</v>
      </c>
      <c r="N109" s="13"/>
      <c r="O109" s="14"/>
    </row>
    <row r="110" spans="1:15">
      <c r="A110" s="63"/>
      <c r="B110" s="63"/>
      <c r="C110" s="27" t="s">
        <v>1083</v>
      </c>
      <c r="D110" s="28" t="s">
        <v>992</v>
      </c>
      <c r="E110" s="29" t="s">
        <v>986</v>
      </c>
      <c r="F110" s="30" t="s">
        <v>1109</v>
      </c>
      <c r="G110" s="28" t="s">
        <v>992</v>
      </c>
      <c r="H110" s="29" t="s">
        <v>986</v>
      </c>
      <c r="I110" s="30" t="s">
        <v>1109</v>
      </c>
      <c r="J110" s="34" t="s">
        <v>18</v>
      </c>
      <c r="K110" s="25" t="s">
        <v>7</v>
      </c>
      <c r="L110" s="29" t="s">
        <v>946</v>
      </c>
      <c r="M110" s="25" t="s">
        <v>18</v>
      </c>
      <c r="N110" s="13"/>
      <c r="O110" s="14"/>
    </row>
    <row r="111" spans="1:15">
      <c r="A111" s="63" t="s">
        <v>907</v>
      </c>
      <c r="B111" s="63" t="s">
        <v>908</v>
      </c>
      <c r="C111" s="35" t="s">
        <v>934</v>
      </c>
      <c r="D111" s="28" t="s">
        <v>992</v>
      </c>
      <c r="E111" s="29" t="s">
        <v>986</v>
      </c>
      <c r="F111" s="36" t="s">
        <v>1119</v>
      </c>
      <c r="G111" s="28" t="s">
        <v>992</v>
      </c>
      <c r="H111" s="29" t="s">
        <v>986</v>
      </c>
      <c r="I111" s="36" t="s">
        <v>942</v>
      </c>
      <c r="J111" s="34" t="s">
        <v>18</v>
      </c>
      <c r="K111" s="25" t="s">
        <v>7</v>
      </c>
      <c r="L111" s="29" t="s">
        <v>946</v>
      </c>
      <c r="M111" s="25" t="s">
        <v>18</v>
      </c>
      <c r="N111" s="13" t="s">
        <v>976</v>
      </c>
      <c r="O111" s="14" t="s">
        <v>934</v>
      </c>
    </row>
    <row r="112" spans="1:15">
      <c r="A112" s="63"/>
      <c r="B112" s="63"/>
      <c r="C112" s="27" t="s">
        <v>1084</v>
      </c>
      <c r="D112" s="28" t="s">
        <v>992</v>
      </c>
      <c r="E112" s="29" t="s">
        <v>986</v>
      </c>
      <c r="F112" s="30" t="s">
        <v>1098</v>
      </c>
      <c r="G112" s="28" t="s">
        <v>992</v>
      </c>
      <c r="H112" s="29" t="s">
        <v>986</v>
      </c>
      <c r="I112" s="30" t="s">
        <v>1098</v>
      </c>
      <c r="J112" s="34" t="s">
        <v>18</v>
      </c>
      <c r="K112" s="25" t="s">
        <v>7</v>
      </c>
      <c r="L112" s="29" t="s">
        <v>946</v>
      </c>
      <c r="M112" s="25" t="s">
        <v>18</v>
      </c>
      <c r="N112" s="13"/>
      <c r="O112" s="14"/>
    </row>
    <row r="113" spans="1:15">
      <c r="A113" s="63"/>
      <c r="B113" s="63"/>
      <c r="C113" s="27" t="s">
        <v>1087</v>
      </c>
      <c r="D113" s="28" t="s">
        <v>992</v>
      </c>
      <c r="E113" s="29" t="s">
        <v>986</v>
      </c>
      <c r="F113" s="30" t="s">
        <v>1097</v>
      </c>
      <c r="G113" s="28" t="s">
        <v>992</v>
      </c>
      <c r="H113" s="29" t="s">
        <v>986</v>
      </c>
      <c r="I113" s="30" t="s">
        <v>1097</v>
      </c>
      <c r="J113" s="34" t="s">
        <v>18</v>
      </c>
      <c r="K113" s="25" t="s">
        <v>7</v>
      </c>
      <c r="L113" s="29" t="s">
        <v>946</v>
      </c>
      <c r="M113" s="25" t="s">
        <v>18</v>
      </c>
      <c r="N113" s="13"/>
      <c r="O113" s="14"/>
    </row>
    <row r="114" spans="1:15">
      <c r="A114" s="63"/>
      <c r="B114" s="63"/>
      <c r="C114" s="27" t="s">
        <v>1089</v>
      </c>
      <c r="D114" s="28" t="s">
        <v>992</v>
      </c>
      <c r="E114" s="29" t="s">
        <v>986</v>
      </c>
      <c r="F114" s="30" t="s">
        <v>1109</v>
      </c>
      <c r="G114" s="28" t="s">
        <v>992</v>
      </c>
      <c r="H114" s="29" t="s">
        <v>986</v>
      </c>
      <c r="I114" s="30" t="s">
        <v>1109</v>
      </c>
      <c r="J114" s="34" t="s">
        <v>18</v>
      </c>
      <c r="K114" s="25" t="s">
        <v>7</v>
      </c>
      <c r="L114" s="29" t="s">
        <v>946</v>
      </c>
      <c r="M114" s="25" t="s">
        <v>18</v>
      </c>
      <c r="N114" s="13"/>
      <c r="O114" s="14"/>
    </row>
    <row r="115" spans="1:15">
      <c r="A115" s="63"/>
      <c r="B115" s="63"/>
      <c r="C115" s="27" t="s">
        <v>1072</v>
      </c>
      <c r="D115" s="28" t="s">
        <v>992</v>
      </c>
      <c r="E115" s="29" t="s">
        <v>986</v>
      </c>
      <c r="F115" s="30" t="s">
        <v>1099</v>
      </c>
      <c r="G115" s="28" t="s">
        <v>992</v>
      </c>
      <c r="H115" s="29" t="s">
        <v>986</v>
      </c>
      <c r="I115" s="30" t="s">
        <v>1099</v>
      </c>
      <c r="J115" s="34" t="s">
        <v>18</v>
      </c>
      <c r="K115" s="25" t="s">
        <v>7</v>
      </c>
      <c r="L115" s="29" t="s">
        <v>946</v>
      </c>
      <c r="M115" s="25" t="s">
        <v>18</v>
      </c>
      <c r="N115" s="13"/>
      <c r="O115" s="14"/>
    </row>
    <row r="116" spans="1:15">
      <c r="A116" s="63" t="s">
        <v>909</v>
      </c>
      <c r="B116" s="63" t="s">
        <v>910</v>
      </c>
      <c r="C116" s="35" t="s">
        <v>424</v>
      </c>
      <c r="D116" s="28" t="s">
        <v>992</v>
      </c>
      <c r="E116" s="29" t="s">
        <v>986</v>
      </c>
      <c r="F116" s="36" t="s">
        <v>942</v>
      </c>
      <c r="G116" s="28" t="s">
        <v>992</v>
      </c>
      <c r="H116" s="29" t="s">
        <v>986</v>
      </c>
      <c r="I116" s="36" t="s">
        <v>942</v>
      </c>
      <c r="J116" s="34" t="s">
        <v>18</v>
      </c>
      <c r="K116" s="25" t="s">
        <v>7</v>
      </c>
      <c r="L116" s="29" t="s">
        <v>946</v>
      </c>
      <c r="M116" s="25" t="s">
        <v>18</v>
      </c>
      <c r="N116" s="13" t="s">
        <v>977</v>
      </c>
      <c r="O116" s="14" t="s">
        <v>424</v>
      </c>
    </row>
    <row r="117" spans="1:15">
      <c r="A117" s="63"/>
      <c r="B117" s="63"/>
      <c r="C117" s="27" t="s">
        <v>1085</v>
      </c>
      <c r="D117" s="28" t="s">
        <v>992</v>
      </c>
      <c r="E117" s="29" t="s">
        <v>986</v>
      </c>
      <c r="F117" s="30" t="s">
        <v>1098</v>
      </c>
      <c r="G117" s="28" t="s">
        <v>992</v>
      </c>
      <c r="H117" s="29" t="s">
        <v>986</v>
      </c>
      <c r="I117" s="30" t="s">
        <v>1098</v>
      </c>
      <c r="J117" s="34" t="s">
        <v>18</v>
      </c>
      <c r="K117" s="25" t="s">
        <v>7</v>
      </c>
      <c r="L117" s="29" t="s">
        <v>946</v>
      </c>
      <c r="M117" s="25" t="s">
        <v>18</v>
      </c>
      <c r="N117" s="13"/>
      <c r="O117" s="14"/>
    </row>
    <row r="118" spans="1:15">
      <c r="A118" s="63"/>
      <c r="B118" s="63"/>
      <c r="C118" s="27" t="s">
        <v>1088</v>
      </c>
      <c r="D118" s="28" t="s">
        <v>992</v>
      </c>
      <c r="E118" s="29" t="s">
        <v>986</v>
      </c>
      <c r="F118" s="30" t="s">
        <v>1097</v>
      </c>
      <c r="G118" s="28" t="s">
        <v>992</v>
      </c>
      <c r="H118" s="29" t="s">
        <v>986</v>
      </c>
      <c r="I118" s="30" t="s">
        <v>1097</v>
      </c>
      <c r="J118" s="34" t="s">
        <v>18</v>
      </c>
      <c r="K118" s="25" t="s">
        <v>7</v>
      </c>
      <c r="L118" s="29" t="s">
        <v>946</v>
      </c>
      <c r="M118" s="25" t="s">
        <v>18</v>
      </c>
      <c r="N118" s="13"/>
      <c r="O118" s="14"/>
    </row>
    <row r="119" spans="1:15">
      <c r="A119" s="63"/>
      <c r="B119" s="63"/>
      <c r="C119" s="27" t="s">
        <v>1090</v>
      </c>
      <c r="D119" s="28" t="s">
        <v>992</v>
      </c>
      <c r="E119" s="29" t="s">
        <v>986</v>
      </c>
      <c r="F119" s="30" t="s">
        <v>1109</v>
      </c>
      <c r="G119" s="28" t="s">
        <v>992</v>
      </c>
      <c r="H119" s="29" t="s">
        <v>986</v>
      </c>
      <c r="I119" s="30" t="s">
        <v>1109</v>
      </c>
      <c r="J119" s="34" t="s">
        <v>18</v>
      </c>
      <c r="K119" s="25" t="s">
        <v>7</v>
      </c>
      <c r="L119" s="29" t="s">
        <v>946</v>
      </c>
      <c r="M119" s="25" t="s">
        <v>18</v>
      </c>
      <c r="N119" s="13"/>
      <c r="O119" s="14"/>
    </row>
    <row r="120" spans="1:15">
      <c r="A120" s="63" t="s">
        <v>911</v>
      </c>
      <c r="B120" s="63" t="s">
        <v>912</v>
      </c>
      <c r="C120" s="35" t="s">
        <v>426</v>
      </c>
      <c r="D120" s="28" t="s">
        <v>992</v>
      </c>
      <c r="E120" s="29" t="s">
        <v>986</v>
      </c>
      <c r="F120" s="36" t="s">
        <v>942</v>
      </c>
      <c r="G120" s="28" t="s">
        <v>992</v>
      </c>
      <c r="H120" s="29" t="s">
        <v>986</v>
      </c>
      <c r="I120" s="36" t="s">
        <v>942</v>
      </c>
      <c r="J120" s="34" t="s">
        <v>18</v>
      </c>
      <c r="K120" s="25" t="s">
        <v>7</v>
      </c>
      <c r="L120" s="29" t="s">
        <v>946</v>
      </c>
      <c r="M120" s="25" t="s">
        <v>18</v>
      </c>
      <c r="N120" s="13" t="s">
        <v>978</v>
      </c>
      <c r="O120" s="14" t="s">
        <v>426</v>
      </c>
    </row>
    <row r="121" spans="1:15">
      <c r="A121" s="63"/>
      <c r="B121" s="63"/>
      <c r="C121" s="35" t="s">
        <v>1086</v>
      </c>
      <c r="D121" s="28" t="s">
        <v>992</v>
      </c>
      <c r="E121" s="29" t="s">
        <v>986</v>
      </c>
      <c r="F121" s="30" t="s">
        <v>1098</v>
      </c>
      <c r="G121" s="28" t="s">
        <v>992</v>
      </c>
      <c r="H121" s="29" t="s">
        <v>986</v>
      </c>
      <c r="I121" s="30" t="s">
        <v>1098</v>
      </c>
      <c r="J121" s="34" t="s">
        <v>18</v>
      </c>
      <c r="K121" s="25" t="s">
        <v>7</v>
      </c>
      <c r="L121" s="29" t="s">
        <v>946</v>
      </c>
      <c r="M121" s="25" t="s">
        <v>18</v>
      </c>
      <c r="N121" s="13"/>
      <c r="O121" s="14"/>
    </row>
    <row r="122" spans="1:15">
      <c r="A122" s="63" t="s">
        <v>913</v>
      </c>
      <c r="B122" s="63" t="s">
        <v>914</v>
      </c>
      <c r="C122" s="35" t="s">
        <v>154</v>
      </c>
      <c r="D122" s="28" t="s">
        <v>992</v>
      </c>
      <c r="E122" s="29" t="s">
        <v>986</v>
      </c>
      <c r="F122" s="36" t="s">
        <v>942</v>
      </c>
      <c r="G122" s="28" t="s">
        <v>992</v>
      </c>
      <c r="H122" s="29" t="s">
        <v>986</v>
      </c>
      <c r="I122" s="36" t="s">
        <v>942</v>
      </c>
      <c r="J122" s="34" t="s">
        <v>18</v>
      </c>
      <c r="K122" s="25" t="s">
        <v>7</v>
      </c>
      <c r="L122" s="29" t="s">
        <v>946</v>
      </c>
      <c r="M122" s="25" t="s">
        <v>18</v>
      </c>
      <c r="N122" s="13" t="s">
        <v>979</v>
      </c>
      <c r="O122" s="14" t="s">
        <v>154</v>
      </c>
    </row>
    <row r="123" spans="1:15">
      <c r="A123" s="63"/>
      <c r="B123" s="63"/>
      <c r="C123" s="35" t="s">
        <v>1091</v>
      </c>
      <c r="D123" s="28" t="s">
        <v>992</v>
      </c>
      <c r="E123" s="29" t="s">
        <v>986</v>
      </c>
      <c r="F123" s="30" t="s">
        <v>1097</v>
      </c>
      <c r="G123" s="28" t="s">
        <v>992</v>
      </c>
      <c r="H123" s="29" t="s">
        <v>986</v>
      </c>
      <c r="I123" s="30" t="s">
        <v>1097</v>
      </c>
      <c r="J123" s="34" t="s">
        <v>18</v>
      </c>
      <c r="K123" s="25" t="s">
        <v>7</v>
      </c>
      <c r="L123" s="29" t="s">
        <v>946</v>
      </c>
      <c r="M123" s="25" t="s">
        <v>18</v>
      </c>
      <c r="N123" s="13"/>
      <c r="O123" s="14"/>
    </row>
    <row r="124" spans="1:15">
      <c r="A124" s="63" t="s">
        <v>915</v>
      </c>
      <c r="B124" s="63" t="s">
        <v>916</v>
      </c>
      <c r="C124" s="35" t="s">
        <v>935</v>
      </c>
      <c r="D124" s="28" t="s">
        <v>992</v>
      </c>
      <c r="E124" s="29" t="s">
        <v>986</v>
      </c>
      <c r="F124" s="36" t="s">
        <v>942</v>
      </c>
      <c r="G124" s="28" t="s">
        <v>992</v>
      </c>
      <c r="H124" s="29" t="s">
        <v>986</v>
      </c>
      <c r="I124" s="36" t="s">
        <v>942</v>
      </c>
      <c r="J124" s="34" t="s">
        <v>18</v>
      </c>
      <c r="K124" s="25" t="s">
        <v>7</v>
      </c>
      <c r="L124" s="29" t="s">
        <v>946</v>
      </c>
      <c r="M124" s="25" t="s">
        <v>18</v>
      </c>
      <c r="N124" s="13" t="s">
        <v>980</v>
      </c>
      <c r="O124" s="14" t="s">
        <v>935</v>
      </c>
    </row>
    <row r="125" spans="1:15">
      <c r="A125" s="63"/>
      <c r="B125" s="63"/>
      <c r="C125" s="35" t="s">
        <v>1092</v>
      </c>
      <c r="D125" s="28" t="s">
        <v>992</v>
      </c>
      <c r="E125" s="29" t="s">
        <v>986</v>
      </c>
      <c r="F125" s="30" t="s">
        <v>1097</v>
      </c>
      <c r="G125" s="28" t="s">
        <v>992</v>
      </c>
      <c r="H125" s="29" t="s">
        <v>986</v>
      </c>
      <c r="I125" s="30" t="s">
        <v>1097</v>
      </c>
      <c r="J125" s="34" t="s">
        <v>18</v>
      </c>
      <c r="K125" s="25" t="s">
        <v>7</v>
      </c>
      <c r="L125" s="29" t="s">
        <v>946</v>
      </c>
      <c r="M125" s="25" t="s">
        <v>18</v>
      </c>
      <c r="N125" s="13"/>
      <c r="O125" s="14"/>
    </row>
    <row r="126" spans="1:15">
      <c r="A126" s="63" t="s">
        <v>917</v>
      </c>
      <c r="B126" s="63" t="s">
        <v>918</v>
      </c>
      <c r="C126" s="35" t="s">
        <v>356</v>
      </c>
      <c r="D126" s="28" t="s">
        <v>992</v>
      </c>
      <c r="E126" s="29" t="s">
        <v>986</v>
      </c>
      <c r="F126" s="36" t="s">
        <v>942</v>
      </c>
      <c r="G126" s="28" t="s">
        <v>992</v>
      </c>
      <c r="H126" s="29" t="s">
        <v>986</v>
      </c>
      <c r="I126" s="36" t="s">
        <v>942</v>
      </c>
      <c r="J126" s="34" t="s">
        <v>18</v>
      </c>
      <c r="K126" s="25" t="s">
        <v>7</v>
      </c>
      <c r="L126" s="29" t="s">
        <v>946</v>
      </c>
      <c r="M126" s="25" t="s">
        <v>18</v>
      </c>
      <c r="N126" s="13" t="s">
        <v>981</v>
      </c>
      <c r="O126" s="14" t="s">
        <v>356</v>
      </c>
    </row>
    <row r="127" spans="1:15">
      <c r="A127" s="63"/>
      <c r="B127" s="63"/>
      <c r="C127" s="35" t="s">
        <v>1093</v>
      </c>
      <c r="D127" s="28" t="s">
        <v>992</v>
      </c>
      <c r="E127" s="29" t="s">
        <v>986</v>
      </c>
      <c r="F127" s="30" t="s">
        <v>1097</v>
      </c>
      <c r="G127" s="28" t="s">
        <v>992</v>
      </c>
      <c r="H127" s="29" t="s">
        <v>986</v>
      </c>
      <c r="I127" s="30" t="s">
        <v>1097</v>
      </c>
      <c r="J127" s="34" t="s">
        <v>18</v>
      </c>
      <c r="K127" s="25" t="s">
        <v>7</v>
      </c>
      <c r="L127" s="29" t="s">
        <v>946</v>
      </c>
      <c r="M127" s="25" t="s">
        <v>18</v>
      </c>
      <c r="N127" s="13"/>
      <c r="O127" s="14"/>
    </row>
    <row r="128" spans="1:15">
      <c r="A128" s="63" t="s">
        <v>919</v>
      </c>
      <c r="B128" s="63" t="s">
        <v>920</v>
      </c>
      <c r="C128" s="35" t="s">
        <v>357</v>
      </c>
      <c r="D128" s="28" t="s">
        <v>992</v>
      </c>
      <c r="E128" s="29" t="s">
        <v>986</v>
      </c>
      <c r="F128" s="36" t="s">
        <v>942</v>
      </c>
      <c r="G128" s="28" t="s">
        <v>992</v>
      </c>
      <c r="H128" s="29" t="s">
        <v>986</v>
      </c>
      <c r="I128" s="36" t="s">
        <v>942</v>
      </c>
      <c r="J128" s="34" t="s">
        <v>18</v>
      </c>
      <c r="K128" s="25" t="s">
        <v>7</v>
      </c>
      <c r="L128" s="29" t="s">
        <v>946</v>
      </c>
      <c r="M128" s="25" t="s">
        <v>18</v>
      </c>
      <c r="N128" s="13" t="s">
        <v>982</v>
      </c>
      <c r="O128" s="14" t="s">
        <v>357</v>
      </c>
    </row>
    <row r="129" spans="1:15">
      <c r="A129" s="63"/>
      <c r="B129" s="63"/>
      <c r="C129" s="35" t="s">
        <v>1094</v>
      </c>
      <c r="D129" s="28" t="s">
        <v>992</v>
      </c>
      <c r="E129" s="29" t="s">
        <v>986</v>
      </c>
      <c r="F129" s="30" t="s">
        <v>1097</v>
      </c>
      <c r="G129" s="28" t="s">
        <v>992</v>
      </c>
      <c r="H129" s="29" t="s">
        <v>986</v>
      </c>
      <c r="I129" s="30" t="s">
        <v>1097</v>
      </c>
      <c r="J129" s="34" t="s">
        <v>18</v>
      </c>
      <c r="K129" s="25" t="s">
        <v>7</v>
      </c>
      <c r="L129" s="29" t="s">
        <v>946</v>
      </c>
      <c r="M129" s="25" t="s">
        <v>18</v>
      </c>
      <c r="N129" s="13"/>
      <c r="O129" s="14"/>
    </row>
    <row r="130" spans="1:15">
      <c r="A130" s="63" t="s">
        <v>921</v>
      </c>
      <c r="B130" s="63" t="s">
        <v>922</v>
      </c>
      <c r="C130" s="35" t="s">
        <v>358</v>
      </c>
      <c r="D130" s="28" t="s">
        <v>992</v>
      </c>
      <c r="E130" s="29" t="s">
        <v>986</v>
      </c>
      <c r="F130" s="36" t="s">
        <v>942</v>
      </c>
      <c r="G130" s="28" t="s">
        <v>992</v>
      </c>
      <c r="H130" s="29" t="s">
        <v>986</v>
      </c>
      <c r="I130" s="36" t="s">
        <v>942</v>
      </c>
      <c r="J130" s="34" t="s">
        <v>18</v>
      </c>
      <c r="K130" s="25" t="s">
        <v>7</v>
      </c>
      <c r="L130" s="29" t="s">
        <v>946</v>
      </c>
      <c r="M130" s="25" t="s">
        <v>18</v>
      </c>
      <c r="N130" s="13" t="s">
        <v>983</v>
      </c>
      <c r="O130" s="14" t="s">
        <v>358</v>
      </c>
    </row>
    <row r="131" spans="1:15">
      <c r="A131" s="63"/>
      <c r="B131" s="63"/>
      <c r="C131" s="35" t="s">
        <v>1095</v>
      </c>
      <c r="D131" s="28" t="s">
        <v>1033</v>
      </c>
      <c r="E131" s="29" t="s">
        <v>986</v>
      </c>
      <c r="F131" s="30" t="s">
        <v>1097</v>
      </c>
      <c r="G131" s="28" t="s">
        <v>992</v>
      </c>
      <c r="H131" s="29" t="s">
        <v>986</v>
      </c>
      <c r="I131" s="30" t="s">
        <v>1097</v>
      </c>
      <c r="J131" s="34" t="s">
        <v>18</v>
      </c>
      <c r="K131" s="25" t="s">
        <v>7</v>
      </c>
      <c r="L131" s="29" t="s">
        <v>946</v>
      </c>
      <c r="M131" s="25" t="s">
        <v>18</v>
      </c>
      <c r="N131" s="13"/>
      <c r="O131" s="14"/>
    </row>
    <row r="132" spans="1:15">
      <c r="A132" s="63" t="s">
        <v>923</v>
      </c>
      <c r="B132" s="63" t="s">
        <v>924</v>
      </c>
      <c r="C132" s="35" t="s">
        <v>359</v>
      </c>
      <c r="D132" s="28" t="s">
        <v>992</v>
      </c>
      <c r="E132" s="29" t="s">
        <v>986</v>
      </c>
      <c r="F132" s="36" t="s">
        <v>942</v>
      </c>
      <c r="G132" s="28" t="s">
        <v>992</v>
      </c>
      <c r="H132" s="29" t="s">
        <v>986</v>
      </c>
      <c r="I132" s="36" t="s">
        <v>942</v>
      </c>
      <c r="J132" s="34" t="s">
        <v>18</v>
      </c>
      <c r="K132" s="25" t="s">
        <v>7</v>
      </c>
      <c r="L132" s="29" t="s">
        <v>946</v>
      </c>
      <c r="M132" s="25" t="s">
        <v>18</v>
      </c>
      <c r="N132" s="13" t="s">
        <v>984</v>
      </c>
      <c r="O132" s="14" t="s">
        <v>359</v>
      </c>
    </row>
    <row r="133" spans="1:15">
      <c r="A133" s="63"/>
      <c r="B133" s="63"/>
      <c r="C133" s="35" t="s">
        <v>1036</v>
      </c>
      <c r="D133" s="28" t="s">
        <v>1033</v>
      </c>
      <c r="E133" s="29" t="s">
        <v>986</v>
      </c>
      <c r="F133" s="30" t="s">
        <v>1097</v>
      </c>
      <c r="G133" s="28" t="s">
        <v>992</v>
      </c>
      <c r="H133" s="29" t="s">
        <v>986</v>
      </c>
      <c r="I133" s="30" t="s">
        <v>1097</v>
      </c>
      <c r="J133" s="34" t="s">
        <v>18</v>
      </c>
      <c r="K133" s="25" t="s">
        <v>7</v>
      </c>
      <c r="L133" s="29" t="s">
        <v>946</v>
      </c>
      <c r="M133" s="25" t="s">
        <v>18</v>
      </c>
      <c r="N133" s="13"/>
      <c r="O133" s="14"/>
    </row>
    <row r="134" spans="1:15">
      <c r="A134" s="63" t="s">
        <v>925</v>
      </c>
      <c r="B134" s="63" t="s">
        <v>926</v>
      </c>
      <c r="C134" s="35" t="s">
        <v>360</v>
      </c>
      <c r="D134" s="28" t="s">
        <v>992</v>
      </c>
      <c r="E134" s="29" t="s">
        <v>986</v>
      </c>
      <c r="F134" s="36" t="s">
        <v>942</v>
      </c>
      <c r="G134" s="28" t="s">
        <v>992</v>
      </c>
      <c r="H134" s="29" t="s">
        <v>986</v>
      </c>
      <c r="I134" s="36" t="s">
        <v>942</v>
      </c>
      <c r="J134" s="34" t="s">
        <v>18</v>
      </c>
      <c r="K134" s="25" t="s">
        <v>7</v>
      </c>
      <c r="L134" s="29" t="s">
        <v>946</v>
      </c>
      <c r="M134" s="25" t="s">
        <v>18</v>
      </c>
      <c r="N134" s="13" t="s">
        <v>985</v>
      </c>
      <c r="O134" s="14" t="s">
        <v>360</v>
      </c>
    </row>
    <row r="135" spans="1:15">
      <c r="A135" s="25"/>
      <c r="B135" s="33"/>
      <c r="C135" s="35" t="s">
        <v>1035</v>
      </c>
      <c r="D135" s="28" t="s">
        <v>1033</v>
      </c>
      <c r="E135" s="29" t="s">
        <v>986</v>
      </c>
      <c r="F135" s="30" t="s">
        <v>1097</v>
      </c>
      <c r="G135" s="28" t="s">
        <v>992</v>
      </c>
      <c r="H135" s="29" t="s">
        <v>986</v>
      </c>
      <c r="I135" s="30" t="s">
        <v>1097</v>
      </c>
      <c r="J135" s="34" t="s">
        <v>18</v>
      </c>
      <c r="K135" s="25" t="s">
        <v>7</v>
      </c>
      <c r="L135" s="29" t="s">
        <v>946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L23"/>
  <sheetViews>
    <sheetView zoomScaleNormal="100" workbookViewId="0">
      <selection activeCell="L32" sqref="L32"/>
    </sheetView>
  </sheetViews>
  <sheetFormatPr defaultColWidth="8.88671875" defaultRowHeight="12"/>
  <cols>
    <col min="1" max="1" width="13.44140625" style="11" customWidth="1"/>
    <col min="2" max="3" width="10.77734375" style="11" bestFit="1" customWidth="1"/>
    <col min="4" max="4" width="4.6640625" style="11" bestFit="1" customWidth="1"/>
    <col min="5" max="5" width="7.33203125" style="11" bestFit="1" customWidth="1"/>
    <col min="6" max="6" width="4.6640625" style="11" bestFit="1" customWidth="1"/>
    <col min="7" max="7" width="6" style="11" bestFit="1" customWidth="1"/>
    <col min="8" max="8" width="10" style="11" bestFit="1" customWidth="1"/>
    <col min="9" max="9" width="8" style="11" bestFit="1" customWidth="1"/>
    <col min="10" max="10" width="8.44140625" style="11" customWidth="1"/>
    <col min="11" max="11" width="8.88671875" style="11"/>
    <col min="12" max="12" width="29.5546875" style="11" bestFit="1" customWidth="1"/>
    <col min="13" max="16384" width="8.88671875" style="11"/>
  </cols>
  <sheetData>
    <row r="1" spans="1:12" ht="15.75">
      <c r="A1" s="1" t="s">
        <v>537</v>
      </c>
      <c r="B1" s="53" t="s">
        <v>1151</v>
      </c>
      <c r="C1" s="54" t="s">
        <v>1012</v>
      </c>
      <c r="D1" s="55"/>
      <c r="E1" s="55"/>
      <c r="G1" s="10"/>
      <c r="H1" s="10"/>
      <c r="I1" s="10"/>
    </row>
    <row r="2" spans="1:12" ht="15.75">
      <c r="A2" s="1" t="s">
        <v>540</v>
      </c>
      <c r="B2" s="53" t="s">
        <v>541</v>
      </c>
      <c r="C2" s="55"/>
      <c r="D2" s="55"/>
      <c r="E2" s="55"/>
      <c r="G2" s="10"/>
      <c r="H2" s="10"/>
      <c r="I2" s="10"/>
    </row>
    <row r="3" spans="1:12" ht="15.75">
      <c r="A3" s="2" t="s">
        <v>542</v>
      </c>
      <c r="B3" s="12">
        <v>1</v>
      </c>
      <c r="C3" s="55"/>
      <c r="D3" s="55"/>
      <c r="E3" s="55"/>
      <c r="G3" s="10"/>
      <c r="H3" s="10"/>
      <c r="I3" s="10"/>
    </row>
    <row r="4" spans="1:12" ht="15.75">
      <c r="A4" s="2" t="s">
        <v>543</v>
      </c>
      <c r="B4" s="12">
        <v>14</v>
      </c>
      <c r="C4" s="55"/>
      <c r="D4" s="55"/>
      <c r="E4" s="55"/>
      <c r="G4" s="10"/>
      <c r="H4" s="10"/>
      <c r="I4" s="10"/>
    </row>
    <row r="5" spans="1:12" ht="23.25" customHeight="1">
      <c r="A5" s="4" t="s">
        <v>544</v>
      </c>
      <c r="B5" s="12" t="s">
        <v>15</v>
      </c>
      <c r="C5" s="55"/>
      <c r="D5" s="55"/>
      <c r="E5" s="55"/>
      <c r="G5" s="10"/>
      <c r="H5" s="10"/>
      <c r="I5" s="10"/>
    </row>
    <row r="6" spans="1:12" ht="22.5">
      <c r="A6" s="4" t="s">
        <v>545</v>
      </c>
      <c r="B6" s="12" t="s">
        <v>15</v>
      </c>
      <c r="C6" s="55"/>
      <c r="D6" s="55"/>
      <c r="E6" s="55"/>
      <c r="L6" s="85" t="s">
        <v>362</v>
      </c>
    </row>
    <row r="7" spans="1:12" ht="33.75" customHeight="1">
      <c r="A7" s="15" t="s">
        <v>439</v>
      </c>
      <c r="B7" s="15" t="s">
        <v>445</v>
      </c>
      <c r="C7" s="19" t="s">
        <v>446</v>
      </c>
      <c r="D7" s="15" t="s">
        <v>449</v>
      </c>
      <c r="E7" s="19" t="s">
        <v>450</v>
      </c>
      <c r="F7" s="19" t="s">
        <v>451</v>
      </c>
      <c r="G7" s="19" t="s">
        <v>440</v>
      </c>
      <c r="H7" s="15" t="s">
        <v>441</v>
      </c>
      <c r="I7" s="19" t="s">
        <v>442</v>
      </c>
      <c r="J7" s="19" t="s">
        <v>443</v>
      </c>
      <c r="K7" s="66" t="s">
        <v>894</v>
      </c>
      <c r="L7" s="21" t="s">
        <v>1318</v>
      </c>
    </row>
    <row r="8" spans="1:12">
      <c r="A8" s="25" t="s">
        <v>431</v>
      </c>
      <c r="B8" s="25" t="s">
        <v>151</v>
      </c>
      <c r="C8" s="25" t="s">
        <v>444</v>
      </c>
      <c r="D8" s="25" t="s">
        <v>1026</v>
      </c>
      <c r="E8" s="25" t="s">
        <v>1026</v>
      </c>
      <c r="F8" s="25" t="s">
        <v>24</v>
      </c>
      <c r="G8" s="25">
        <v>0</v>
      </c>
      <c r="H8" s="25" t="s">
        <v>7</v>
      </c>
      <c r="I8" s="25" t="s">
        <v>18</v>
      </c>
      <c r="J8" s="25" t="s">
        <v>18</v>
      </c>
      <c r="K8" s="13" t="s">
        <v>1017</v>
      </c>
      <c r="L8" s="14" t="s">
        <v>444</v>
      </c>
    </row>
    <row r="9" spans="1:12" s="55" customFormat="1">
      <c r="A9" s="25"/>
      <c r="B9" s="25"/>
      <c r="C9" s="25" t="s">
        <v>1027</v>
      </c>
      <c r="D9" s="25" t="s">
        <v>1026</v>
      </c>
      <c r="E9" s="25" t="s">
        <v>1026</v>
      </c>
      <c r="F9" s="25" t="s">
        <v>166</v>
      </c>
      <c r="G9" s="25">
        <v>0</v>
      </c>
      <c r="H9" s="25" t="s">
        <v>7</v>
      </c>
      <c r="I9" s="25" t="s">
        <v>18</v>
      </c>
      <c r="J9" s="25" t="s">
        <v>18</v>
      </c>
      <c r="K9" s="13"/>
      <c r="L9" s="14"/>
    </row>
    <row r="10" spans="1:12">
      <c r="A10" s="25" t="s">
        <v>432</v>
      </c>
      <c r="B10" s="25" t="s">
        <v>151</v>
      </c>
      <c r="C10" s="25" t="s">
        <v>1014</v>
      </c>
      <c r="D10" s="25" t="s">
        <v>1026</v>
      </c>
      <c r="E10" s="25" t="s">
        <v>1026</v>
      </c>
      <c r="F10" s="25" t="s">
        <v>166</v>
      </c>
      <c r="G10" s="25">
        <v>0</v>
      </c>
      <c r="H10" s="25" t="s">
        <v>7</v>
      </c>
      <c r="I10" s="25" t="s">
        <v>18</v>
      </c>
      <c r="J10" s="25">
        <v>1</v>
      </c>
      <c r="K10" s="13" t="s">
        <v>1018</v>
      </c>
      <c r="L10" s="14" t="s">
        <v>1014</v>
      </c>
    </row>
    <row r="11" spans="1:12" s="55" customFormat="1">
      <c r="A11" s="25"/>
      <c r="B11" s="25"/>
      <c r="C11" s="25" t="s">
        <v>1028</v>
      </c>
      <c r="D11" s="25" t="s">
        <v>1026</v>
      </c>
      <c r="E11" s="25" t="s">
        <v>1026</v>
      </c>
      <c r="F11" s="25" t="s">
        <v>24</v>
      </c>
      <c r="G11" s="25">
        <v>0</v>
      </c>
      <c r="H11" s="25" t="s">
        <v>7</v>
      </c>
      <c r="I11" s="25" t="s">
        <v>18</v>
      </c>
      <c r="J11" s="25">
        <v>1</v>
      </c>
      <c r="K11" s="13"/>
      <c r="L11" s="14"/>
    </row>
    <row r="12" spans="1:12">
      <c r="A12" s="25" t="s">
        <v>433</v>
      </c>
      <c r="B12" s="25" t="s">
        <v>151</v>
      </c>
      <c r="C12" s="25" t="s">
        <v>1015</v>
      </c>
      <c r="D12" s="25" t="s">
        <v>1026</v>
      </c>
      <c r="E12" s="25" t="s">
        <v>1026</v>
      </c>
      <c r="F12" s="25" t="s">
        <v>166</v>
      </c>
      <c r="G12" s="25">
        <v>0</v>
      </c>
      <c r="H12" s="25" t="s">
        <v>7</v>
      </c>
      <c r="I12" s="25" t="s">
        <v>18</v>
      </c>
      <c r="J12" s="25">
        <v>2</v>
      </c>
      <c r="K12" s="13" t="s">
        <v>1019</v>
      </c>
      <c r="L12" s="14" t="s">
        <v>1015</v>
      </c>
    </row>
    <row r="13" spans="1:12" s="55" customFormat="1">
      <c r="A13" s="25"/>
      <c r="B13" s="25"/>
      <c r="C13" s="25" t="s">
        <v>1029</v>
      </c>
      <c r="D13" s="25" t="s">
        <v>1026</v>
      </c>
      <c r="E13" s="25" t="s">
        <v>1026</v>
      </c>
      <c r="F13" s="25" t="s">
        <v>24</v>
      </c>
      <c r="G13" s="25">
        <v>0</v>
      </c>
      <c r="H13" s="25" t="s">
        <v>7</v>
      </c>
      <c r="I13" s="25" t="s">
        <v>18</v>
      </c>
      <c r="J13" s="25">
        <v>2</v>
      </c>
      <c r="K13" s="13"/>
      <c r="L13" s="14"/>
    </row>
    <row r="14" spans="1:12">
      <c r="A14" s="25" t="s">
        <v>1013</v>
      </c>
      <c r="B14" s="25" t="s">
        <v>151</v>
      </c>
      <c r="C14" s="25" t="s">
        <v>1016</v>
      </c>
      <c r="D14" s="25" t="s">
        <v>1026</v>
      </c>
      <c r="E14" s="25" t="s">
        <v>1026</v>
      </c>
      <c r="F14" s="25" t="s">
        <v>24</v>
      </c>
      <c r="G14" s="25">
        <v>0</v>
      </c>
      <c r="H14" s="25" t="s">
        <v>7</v>
      </c>
      <c r="I14" s="25" t="s">
        <v>18</v>
      </c>
      <c r="J14" s="25">
        <v>8</v>
      </c>
      <c r="K14" s="13" t="s">
        <v>1020</v>
      </c>
      <c r="L14" s="14" t="s">
        <v>1016</v>
      </c>
    </row>
    <row r="15" spans="1:12">
      <c r="A15" s="25" t="s">
        <v>434</v>
      </c>
      <c r="B15" s="25" t="s">
        <v>151</v>
      </c>
      <c r="C15" s="25" t="s">
        <v>471</v>
      </c>
      <c r="D15" s="25" t="s">
        <v>1026</v>
      </c>
      <c r="E15" s="25" t="s">
        <v>1026</v>
      </c>
      <c r="F15" s="25" t="s">
        <v>166</v>
      </c>
      <c r="G15" s="25">
        <v>0</v>
      </c>
      <c r="H15" s="25" t="s">
        <v>7</v>
      </c>
      <c r="I15" s="25" t="s">
        <v>18</v>
      </c>
      <c r="J15" s="25">
        <v>3</v>
      </c>
      <c r="K15" s="13" t="s">
        <v>1021</v>
      </c>
      <c r="L15" s="14" t="s">
        <v>471</v>
      </c>
    </row>
    <row r="16" spans="1:12" s="55" customFormat="1">
      <c r="A16" s="25"/>
      <c r="B16" s="25"/>
      <c r="C16" s="25" t="s">
        <v>1030</v>
      </c>
      <c r="D16" s="25" t="s">
        <v>1026</v>
      </c>
      <c r="E16" s="25" t="s">
        <v>1026</v>
      </c>
      <c r="F16" s="25" t="s">
        <v>24</v>
      </c>
      <c r="G16" s="25">
        <v>0</v>
      </c>
      <c r="H16" s="25" t="s">
        <v>7</v>
      </c>
      <c r="I16" s="25" t="s">
        <v>18</v>
      </c>
      <c r="J16" s="25">
        <v>3</v>
      </c>
      <c r="K16" s="13"/>
      <c r="L16" s="14"/>
    </row>
    <row r="17" spans="1:12">
      <c r="A17" s="25" t="s">
        <v>436</v>
      </c>
      <c r="B17" s="25" t="s">
        <v>151</v>
      </c>
      <c r="C17" s="25" t="s">
        <v>473</v>
      </c>
      <c r="D17" s="25" t="s">
        <v>1026</v>
      </c>
      <c r="E17" s="25" t="s">
        <v>1026</v>
      </c>
      <c r="F17" s="25" t="s">
        <v>24</v>
      </c>
      <c r="G17" s="25">
        <v>0</v>
      </c>
      <c r="H17" s="25" t="s">
        <v>7</v>
      </c>
      <c r="I17" s="25" t="s">
        <v>18</v>
      </c>
      <c r="J17" s="25">
        <v>4</v>
      </c>
      <c r="K17" s="13" t="s">
        <v>1022</v>
      </c>
      <c r="L17" s="14" t="s">
        <v>473</v>
      </c>
    </row>
    <row r="18" spans="1:12" s="55" customFormat="1">
      <c r="A18" s="25"/>
      <c r="B18" s="25"/>
      <c r="C18" s="25" t="s">
        <v>1031</v>
      </c>
      <c r="D18" s="25" t="s">
        <v>1026</v>
      </c>
      <c r="E18" s="25" t="s">
        <v>1026</v>
      </c>
      <c r="F18" s="25" t="s">
        <v>166</v>
      </c>
      <c r="G18" s="25">
        <v>0</v>
      </c>
      <c r="H18" s="25" t="s">
        <v>7</v>
      </c>
      <c r="I18" s="25" t="s">
        <v>18</v>
      </c>
      <c r="J18" s="25">
        <v>4</v>
      </c>
      <c r="K18" s="13"/>
      <c r="L18" s="14"/>
    </row>
    <row r="19" spans="1:12">
      <c r="A19" s="25" t="s">
        <v>435</v>
      </c>
      <c r="B19" s="25" t="s">
        <v>151</v>
      </c>
      <c r="C19" s="25" t="s">
        <v>472</v>
      </c>
      <c r="D19" s="25" t="s">
        <v>1026</v>
      </c>
      <c r="E19" s="25" t="s">
        <v>1026</v>
      </c>
      <c r="F19" s="25" t="s">
        <v>24</v>
      </c>
      <c r="G19" s="25">
        <v>0</v>
      </c>
      <c r="H19" s="25" t="s">
        <v>7</v>
      </c>
      <c r="I19" s="25" t="s">
        <v>18</v>
      </c>
      <c r="J19" s="25">
        <v>5</v>
      </c>
      <c r="K19" s="13" t="s">
        <v>1023</v>
      </c>
      <c r="L19" s="14" t="s">
        <v>472</v>
      </c>
    </row>
    <row r="20" spans="1:12">
      <c r="A20" s="25" t="s">
        <v>437</v>
      </c>
      <c r="B20" s="25" t="s">
        <v>151</v>
      </c>
      <c r="C20" s="25" t="s">
        <v>474</v>
      </c>
      <c r="D20" s="25" t="s">
        <v>1026</v>
      </c>
      <c r="E20" s="25" t="s">
        <v>1026</v>
      </c>
      <c r="F20" s="25" t="s">
        <v>24</v>
      </c>
      <c r="G20" s="25">
        <v>0</v>
      </c>
      <c r="H20" s="25" t="s">
        <v>7</v>
      </c>
      <c r="I20" s="25" t="s">
        <v>18</v>
      </c>
      <c r="J20" s="25">
        <v>6</v>
      </c>
      <c r="K20" s="13" t="s">
        <v>1024</v>
      </c>
      <c r="L20" s="14" t="s">
        <v>474</v>
      </c>
    </row>
    <row r="21" spans="1:12" s="55" customFormat="1">
      <c r="A21" s="25"/>
      <c r="B21" s="25"/>
      <c r="C21" s="25" t="s">
        <v>1031</v>
      </c>
      <c r="D21" s="25" t="s">
        <v>1026</v>
      </c>
      <c r="E21" s="25" t="s">
        <v>1026</v>
      </c>
      <c r="F21" s="25" t="s">
        <v>166</v>
      </c>
      <c r="G21" s="25">
        <v>0</v>
      </c>
      <c r="H21" s="25" t="s">
        <v>7</v>
      </c>
      <c r="I21" s="25" t="s">
        <v>18</v>
      </c>
      <c r="J21" s="25">
        <v>6</v>
      </c>
      <c r="K21" s="13"/>
      <c r="L21" s="14"/>
    </row>
    <row r="22" spans="1:12">
      <c r="A22" s="25" t="s">
        <v>438</v>
      </c>
      <c r="B22" s="25" t="s">
        <v>151</v>
      </c>
      <c r="C22" s="25" t="s">
        <v>475</v>
      </c>
      <c r="D22" s="25" t="s">
        <v>1026</v>
      </c>
      <c r="E22" s="25" t="s">
        <v>1026</v>
      </c>
      <c r="F22" s="25" t="s">
        <v>24</v>
      </c>
      <c r="G22" s="25">
        <v>0</v>
      </c>
      <c r="H22" s="25" t="s">
        <v>7</v>
      </c>
      <c r="I22" s="25" t="s">
        <v>18</v>
      </c>
      <c r="J22" s="25">
        <v>7</v>
      </c>
      <c r="K22" s="13" t="s">
        <v>1025</v>
      </c>
      <c r="L22" s="14" t="s">
        <v>475</v>
      </c>
    </row>
    <row r="23" spans="1:12" s="55" customFormat="1">
      <c r="A23" s="25"/>
      <c r="B23" s="25"/>
      <c r="C23" s="25" t="s">
        <v>1032</v>
      </c>
      <c r="D23" s="25" t="s">
        <v>1026</v>
      </c>
      <c r="E23" s="25" t="s">
        <v>1026</v>
      </c>
      <c r="F23" s="25" t="s">
        <v>166</v>
      </c>
      <c r="G23" s="25">
        <v>0</v>
      </c>
      <c r="H23" s="25" t="s">
        <v>7</v>
      </c>
      <c r="I23" s="25" t="s">
        <v>18</v>
      </c>
      <c r="J23" s="25">
        <v>7</v>
      </c>
      <c r="K23" s="13"/>
      <c r="L23" s="14"/>
    </row>
  </sheetData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I13"/>
  <sheetViews>
    <sheetView zoomScaleNormal="100" workbookViewId="0">
      <selection activeCell="C7" sqref="C7"/>
    </sheetView>
  </sheetViews>
  <sheetFormatPr defaultColWidth="8.88671875" defaultRowHeight="12"/>
  <cols>
    <col min="1" max="1" width="15.88671875" style="5" bestFit="1" customWidth="1"/>
    <col min="2" max="2" width="9.5546875" style="5" bestFit="1" customWidth="1"/>
    <col min="3" max="3" width="7.6640625" style="11" customWidth="1"/>
    <col min="4" max="4" width="13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13.6640625" style="5" bestFit="1" customWidth="1"/>
    <col min="9" max="9" width="35.44140625" style="5" customWidth="1"/>
    <col min="10" max="10" width="26.77734375" style="5" bestFit="1" customWidth="1"/>
    <col min="11" max="16384" width="8.88671875" style="5"/>
  </cols>
  <sheetData>
    <row r="1" spans="1:9">
      <c r="A1" s="1" t="s">
        <v>14</v>
      </c>
      <c r="B1" s="53" t="s">
        <v>152</v>
      </c>
      <c r="C1" s="54" t="s">
        <v>1146</v>
      </c>
      <c r="D1" s="54" t="s">
        <v>152</v>
      </c>
      <c r="E1" s="55"/>
      <c r="F1" s="55"/>
      <c r="G1" s="55"/>
      <c r="H1" s="55"/>
      <c r="I1" s="55"/>
    </row>
    <row r="2" spans="1:9">
      <c r="A2" s="1" t="s">
        <v>12</v>
      </c>
      <c r="B2" s="53" t="s">
        <v>541</v>
      </c>
      <c r="C2" s="55"/>
      <c r="D2" s="55"/>
      <c r="E2" s="55"/>
      <c r="F2" s="55"/>
      <c r="G2" s="55"/>
      <c r="H2" s="55"/>
      <c r="I2" s="55"/>
    </row>
    <row r="3" spans="1:9">
      <c r="A3" s="2" t="s">
        <v>3</v>
      </c>
      <c r="B3" s="12">
        <v>1</v>
      </c>
      <c r="C3" s="55"/>
      <c r="D3" s="55"/>
      <c r="E3" s="55"/>
      <c r="F3" s="55"/>
      <c r="G3" s="55"/>
      <c r="H3" s="55"/>
      <c r="I3" s="55"/>
    </row>
    <row r="4" spans="1:9">
      <c r="A4" s="2" t="s">
        <v>8</v>
      </c>
      <c r="B4" s="12">
        <v>15</v>
      </c>
      <c r="C4" s="55"/>
      <c r="D4" s="55"/>
      <c r="E4" s="55"/>
      <c r="F4" s="55"/>
      <c r="G4" s="55"/>
      <c r="H4" s="55"/>
      <c r="I4" s="55"/>
    </row>
    <row r="5" spans="1:9" ht="22.5">
      <c r="A5" s="4" t="s">
        <v>1</v>
      </c>
      <c r="B5" s="12" t="s">
        <v>15</v>
      </c>
      <c r="C5" s="55"/>
      <c r="D5" s="55"/>
      <c r="E5" s="55"/>
      <c r="F5" s="55"/>
      <c r="G5" s="55"/>
      <c r="H5" s="55"/>
      <c r="I5" s="55"/>
    </row>
    <row r="6" spans="1:9" ht="22.5">
      <c r="A6" s="4" t="s">
        <v>0</v>
      </c>
      <c r="B6" s="12" t="s">
        <v>15</v>
      </c>
      <c r="C6" s="55"/>
      <c r="D6" s="55"/>
      <c r="E6" s="55"/>
      <c r="F6" s="55"/>
      <c r="G6" s="55"/>
      <c r="H6" s="55"/>
      <c r="I6" s="55"/>
    </row>
    <row r="7" spans="1:9" ht="33.75">
      <c r="A7" s="51" t="s">
        <v>2</v>
      </c>
      <c r="B7" s="51" t="s">
        <v>4</v>
      </c>
      <c r="C7" s="51" t="s">
        <v>1347</v>
      </c>
      <c r="D7" s="3" t="s">
        <v>16</v>
      </c>
      <c r="E7" s="3" t="s">
        <v>10</v>
      </c>
      <c r="F7" s="51" t="s">
        <v>877</v>
      </c>
      <c r="G7" s="3" t="s">
        <v>5</v>
      </c>
      <c r="H7" s="3" t="s">
        <v>11</v>
      </c>
      <c r="I7" s="55"/>
    </row>
    <row r="8" spans="1:9" ht="24">
      <c r="A8" s="58" t="s">
        <v>486</v>
      </c>
      <c r="B8" s="59" t="s">
        <v>169</v>
      </c>
      <c r="C8" s="59"/>
      <c r="D8" s="59" t="s">
        <v>878</v>
      </c>
      <c r="E8" s="42" t="s">
        <v>18</v>
      </c>
      <c r="F8" s="59" t="s">
        <v>7</v>
      </c>
      <c r="G8" s="59" t="s">
        <v>879</v>
      </c>
      <c r="H8" s="59" t="s">
        <v>18</v>
      </c>
      <c r="I8" s="40" t="s">
        <v>880</v>
      </c>
    </row>
    <row r="9" spans="1:9">
      <c r="A9" s="58" t="s">
        <v>487</v>
      </c>
      <c r="B9" s="59" t="s">
        <v>169</v>
      </c>
      <c r="C9" s="59"/>
      <c r="D9" s="59" t="s">
        <v>1149</v>
      </c>
      <c r="E9" s="42" t="s">
        <v>18</v>
      </c>
      <c r="F9" s="59" t="s">
        <v>7</v>
      </c>
      <c r="G9" s="59" t="s">
        <v>879</v>
      </c>
      <c r="H9" s="59" t="s">
        <v>881</v>
      </c>
      <c r="I9" s="40" t="s">
        <v>488</v>
      </c>
    </row>
    <row r="10" spans="1:9">
      <c r="A10" s="58" t="s">
        <v>882</v>
      </c>
      <c r="B10" s="59" t="s">
        <v>361</v>
      </c>
      <c r="C10" s="59"/>
      <c r="D10" s="59" t="s">
        <v>484</v>
      </c>
      <c r="E10" s="42" t="s">
        <v>18</v>
      </c>
      <c r="F10" s="59" t="s">
        <v>7</v>
      </c>
      <c r="G10" s="59" t="s">
        <v>874</v>
      </c>
      <c r="H10" s="59" t="s">
        <v>875</v>
      </c>
      <c r="I10" s="55" t="s">
        <v>883</v>
      </c>
    </row>
    <row r="11" spans="1:9">
      <c r="A11" s="58" t="s">
        <v>489</v>
      </c>
      <c r="B11" s="59" t="s">
        <v>361</v>
      </c>
      <c r="C11" s="59"/>
      <c r="D11" s="59" t="s">
        <v>484</v>
      </c>
      <c r="E11" s="42" t="s">
        <v>18</v>
      </c>
      <c r="F11" s="59" t="s">
        <v>7</v>
      </c>
      <c r="G11" s="59" t="s">
        <v>874</v>
      </c>
      <c r="H11" s="59" t="s">
        <v>876</v>
      </c>
      <c r="I11" s="55" t="s">
        <v>884</v>
      </c>
    </row>
    <row r="12" spans="1:9">
      <c r="B12" s="55"/>
      <c r="C12" s="55"/>
      <c r="D12" s="11"/>
    </row>
    <row r="13" spans="1:9">
      <c r="B13" s="55"/>
      <c r="C13" s="55"/>
      <c r="D13" s="11"/>
    </row>
  </sheetData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16384" width="8.88671875" style="5"/>
  </cols>
  <sheetData>
    <row r="1" spans="1:7">
      <c r="A1" s="1" t="s">
        <v>537</v>
      </c>
      <c r="B1" s="53" t="s">
        <v>430</v>
      </c>
      <c r="C1" s="54" t="s">
        <v>885</v>
      </c>
      <c r="D1" s="55"/>
      <c r="E1" s="55"/>
      <c r="F1" s="55"/>
      <c r="G1" s="55"/>
    </row>
    <row r="2" spans="1:7">
      <c r="A2" s="1" t="s">
        <v>540</v>
      </c>
      <c r="B2" s="53" t="s">
        <v>24</v>
      </c>
      <c r="C2" s="55"/>
      <c r="D2" s="55"/>
      <c r="E2" s="55"/>
      <c r="F2" s="55"/>
      <c r="G2" s="55"/>
    </row>
    <row r="3" spans="1:7">
      <c r="A3" s="2" t="s">
        <v>542</v>
      </c>
      <c r="B3" s="12">
        <v>2</v>
      </c>
      <c r="C3" s="55"/>
      <c r="D3" s="55"/>
      <c r="E3" s="55"/>
      <c r="F3" s="55"/>
      <c r="G3" s="55"/>
    </row>
    <row r="4" spans="1:7">
      <c r="A4" s="2" t="s">
        <v>543</v>
      </c>
      <c r="B4" s="12">
        <v>16</v>
      </c>
      <c r="C4" s="55"/>
      <c r="D4" s="55"/>
      <c r="E4" s="55"/>
      <c r="F4" s="55"/>
      <c r="G4" s="55"/>
    </row>
    <row r="5" spans="1:7" ht="23.25" customHeight="1">
      <c r="A5" s="4" t="s">
        <v>544</v>
      </c>
      <c r="B5" s="12" t="s">
        <v>15</v>
      </c>
      <c r="C5" s="55"/>
      <c r="D5" s="55"/>
      <c r="E5" s="55"/>
      <c r="F5" s="55"/>
      <c r="G5" s="55"/>
    </row>
    <row r="6" spans="1:7" ht="22.5">
      <c r="A6" s="4" t="s">
        <v>545</v>
      </c>
      <c r="B6" s="12" t="s">
        <v>15</v>
      </c>
      <c r="C6" s="55"/>
      <c r="D6" s="55"/>
      <c r="E6" s="55"/>
      <c r="F6" s="55"/>
      <c r="G6" s="55"/>
    </row>
    <row r="7" spans="1:7" ht="33.75">
      <c r="A7" s="51" t="s">
        <v>547</v>
      </c>
      <c r="B7" s="51" t="s">
        <v>548</v>
      </c>
      <c r="C7" s="3" t="s">
        <v>549</v>
      </c>
      <c r="D7" s="3" t="s">
        <v>550</v>
      </c>
      <c r="E7" s="51" t="s">
        <v>637</v>
      </c>
      <c r="F7" s="3" t="s">
        <v>552</v>
      </c>
      <c r="G7" s="3" t="s">
        <v>553</v>
      </c>
    </row>
    <row r="8" spans="1:7">
      <c r="A8" s="58" t="s">
        <v>886</v>
      </c>
      <c r="B8" s="59" t="s">
        <v>638</v>
      </c>
      <c r="C8" s="59" t="s">
        <v>887</v>
      </c>
      <c r="D8" s="59" t="s">
        <v>888</v>
      </c>
      <c r="E8" s="59" t="s">
        <v>6</v>
      </c>
      <c r="F8" s="59" t="s">
        <v>888</v>
      </c>
      <c r="G8" s="59" t="s">
        <v>888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history</vt:lpstr>
      <vt:lpstr>main</vt:lpstr>
      <vt:lpstr>sys_clk</vt:lpstr>
      <vt:lpstr>sysctrl_noCA</vt:lpstr>
      <vt:lpstr>sysctrl_CA</vt:lpstr>
      <vt:lpstr>mddrc</vt:lpstr>
      <vt:lpstr>hi3716m41dma_ddrphy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y00283401</cp:lastModifiedBy>
  <cp:lastPrinted>2007-03-23T05:43:02Z</cp:lastPrinted>
  <dcterms:created xsi:type="dcterms:W3CDTF">2003-11-11T03:59:45Z</dcterms:created>
  <dcterms:modified xsi:type="dcterms:W3CDTF">2018-10-24T07:03:51Z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2015_ms_pID_725343">
    <vt:lpwstr>(3)6XcTGaysh5ANX4/DAlhClQhUmXQiks1aikhM/MX2+KHi5S8ZA6ceBtgPhV4XS9nX/UusY6pH
+xD1QQ1d6gdfhcpozYZhMsAqsxBRaAI7hhvfQ6ghmXHj3qVKJxNzFBtkn+FvI/lxEljyn+Zt
fdo/IKgHAW8nr9M+3FuUhcE4tSnYnGbdvJrKoDUNThhOls96XzsjWKks26X823FYPtBqWPv8
LzWaDe9Uu10ZHVv7WV</vt:lpwstr>
  </property>
  <property fmtid="{D5CDD505-2E9C-101B-9397-08002B2CF9AE}" pid="6" name="_2015_ms_pID_7253431">
    <vt:lpwstr>9N5oXgkO0VZfbXbPp/70bmtERrOEb/eG48jyeyQZZBteVZKsk7XKCQ
x7r1A42X26hbXR27q8/DWLFfk9/2FFLA4FBK13jH79VRAbc68olgC3vM6foKsf4LPL6byI1U
sfHU0VXvFxqOHwl3fXuU7TeeUO2UZqEazbPnJdKF+ojyTkuUcoA2gdV+lC8xWA4afEMJweoZ
jPTCSwS3XvtXHspLun9zIC1sUeRc6HOndb9h</vt:lpwstr>
  </property>
  <property fmtid="{D5CDD505-2E9C-101B-9397-08002B2CF9AE}" pid="7" name="_2015_ms_pID_7253432">
    <vt:lpwstr>cQ==</vt:lpwstr>
  </property>
  <property fmtid="{D5CDD505-2E9C-101B-9397-08002B2CF9AE}" pid="8" name="_readonly">
    <vt:lpwstr/>
  </property>
  <property fmtid="{D5CDD505-2E9C-101B-9397-08002B2CF9AE}" pid="9" name="_change">
    <vt:lpwstr/>
  </property>
  <property fmtid="{D5CDD505-2E9C-101B-9397-08002B2CF9AE}" pid="10" name="_full-control">
    <vt:lpwstr/>
  </property>
  <property fmtid="{D5CDD505-2E9C-101B-9397-08002B2CF9AE}" pid="11" name="sflag">
    <vt:lpwstr>1540199481</vt:lpwstr>
  </property>
</Properties>
</file>